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D:\Belajar Data Analyst\portofolio 2\"/>
    </mc:Choice>
  </mc:AlternateContent>
  <xr:revisionPtr revIDLastSave="0" documentId="13_ncr:1_{D245CB44-E905-41D5-A2EF-7AFCD7FBB6D6}" xr6:coauthVersionLast="47" xr6:coauthVersionMax="47" xr10:uidLastSave="{00000000-0000-0000-0000-000000000000}"/>
  <bookViews>
    <workbookView xWindow="-108" yWindow="-108" windowWidth="23256" windowHeight="12456" xr2:uid="{F4428EDE-923B-4060-8C80-23352CCC41E0}"/>
  </bookViews>
  <sheets>
    <sheet name="customer_master_pipeline_202610" sheetId="2" r:id="rId1"/>
    <sheet name="Ringkasan" sheetId="1" r:id="rId2"/>
  </sheets>
  <definedNames>
    <definedName name="ExternalData_1" localSheetId="0" hidden="1">customer_master_pipeline_202610!$A$1:$K$90</definedName>
    <definedName name="Slicer_city">#N/A</definedName>
    <definedName name="Slicer_country">#N/A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5" i="1" l="1"/>
  <c r="B4" i="1"/>
  <c r="B3" i="1"/>
  <c r="B2" i="1"/>
  <c r="B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E505885-44D9-41FE-A3D2-5529A6AC4ABE}" keepAlive="1" name="Query - customer_master_pipeline_202610120635" description="Connection to the 'customer_master_pipeline_202610120635' query in the workbook." type="5" refreshedVersion="8" background="1" saveData="1">
    <dbPr connection="Provider=Microsoft.Mashup.OleDb.1;Data Source=$Workbook$;Location=customer_master_pipeline_202610120635;Extended Properties=&quot;&quot;" command="SELECT * FROM [customer_master_pipeline_202610120635]"/>
  </connection>
</connections>
</file>

<file path=xl/sharedStrings.xml><?xml version="1.0" encoding="utf-8"?>
<sst xmlns="http://schemas.openxmlformats.org/spreadsheetml/2006/main" count="584" uniqueCount="294">
  <si>
    <t>customer_id</t>
  </si>
  <si>
    <t>company_name</t>
  </si>
  <si>
    <t>city</t>
  </si>
  <si>
    <t>country</t>
  </si>
  <si>
    <t>first_order_date</t>
  </si>
  <si>
    <t>last_order_date</t>
  </si>
  <si>
    <t>total_transaksi</t>
  </si>
  <si>
    <t>total_belanja</t>
  </si>
  <si>
    <t>recency_days</t>
  </si>
  <si>
    <t>avg_order_value</t>
  </si>
  <si>
    <t>is_churn</t>
  </si>
  <si>
    <t>ALFKI</t>
  </si>
  <si>
    <t>Alfreds Futterkiste</t>
  </si>
  <si>
    <t>Berlin</t>
  </si>
  <si>
    <t>Germany</t>
  </si>
  <si>
    <t>ANATR</t>
  </si>
  <si>
    <t>Mexico City</t>
  </si>
  <si>
    <t>Mexico</t>
  </si>
  <si>
    <t>ANTON</t>
  </si>
  <si>
    <t>AROUT</t>
  </si>
  <si>
    <t>London</t>
  </si>
  <si>
    <t>UK</t>
  </si>
  <si>
    <t>BERGS</t>
  </si>
  <si>
    <t>Lule�</t>
  </si>
  <si>
    <t>Sweden</t>
  </si>
  <si>
    <t>BLAUS</t>
  </si>
  <si>
    <t>Blauer See Delikatessen</t>
  </si>
  <si>
    <t>Mannheim</t>
  </si>
  <si>
    <t>BLONP</t>
  </si>
  <si>
    <t>Strasbourg</t>
  </si>
  <si>
    <t>France</t>
  </si>
  <si>
    <t>BOLID</t>
  </si>
  <si>
    <t>Madrid</t>
  </si>
  <si>
    <t>Spain</t>
  </si>
  <si>
    <t>BONAP</t>
  </si>
  <si>
    <t>Marseille</t>
  </si>
  <si>
    <t>BOTTM</t>
  </si>
  <si>
    <t>Bottom-Dollar Markets</t>
  </si>
  <si>
    <t>Tsawassen</t>
  </si>
  <si>
    <t>Canada</t>
  </si>
  <si>
    <t>BSBEV</t>
  </si>
  <si>
    <t>CACTU</t>
  </si>
  <si>
    <t>Buenos Aires</t>
  </si>
  <si>
    <t>Argentina</t>
  </si>
  <si>
    <t>CENTC</t>
  </si>
  <si>
    <t>CHOPS</t>
  </si>
  <si>
    <t>Bern</t>
  </si>
  <si>
    <t>Switzerland</t>
  </si>
  <si>
    <t>COMMI</t>
  </si>
  <si>
    <t>Sao Paulo</t>
  </si>
  <si>
    <t>Brazil</t>
  </si>
  <si>
    <t>CONSH</t>
  </si>
  <si>
    <t>Consolidated Holdings</t>
  </si>
  <si>
    <t>DRACD</t>
  </si>
  <si>
    <t>Drachenblut Delikatessen</t>
  </si>
  <si>
    <t>Aachen</t>
  </si>
  <si>
    <t>DUMON</t>
  </si>
  <si>
    <t>Nantes</t>
  </si>
  <si>
    <t>EASTC</t>
  </si>
  <si>
    <t>Eastern Connection</t>
  </si>
  <si>
    <t>ERNSH</t>
  </si>
  <si>
    <t>Ernst Handel</t>
  </si>
  <si>
    <t>Graz</t>
  </si>
  <si>
    <t>Austria</t>
  </si>
  <si>
    <t>FAMIA</t>
  </si>
  <si>
    <t>Familia Arquibaldo</t>
  </si>
  <si>
    <t>FOLIG</t>
  </si>
  <si>
    <t>Lille</t>
  </si>
  <si>
    <t>FOLKO</t>
  </si>
  <si>
    <t>Br�cke</t>
  </si>
  <si>
    <t>FRANK</t>
  </si>
  <si>
    <t>Frankenversand</t>
  </si>
  <si>
    <t>M�nchen</t>
  </si>
  <si>
    <t>FRANR</t>
  </si>
  <si>
    <t>FRANS</t>
  </si>
  <si>
    <t>Torino</t>
  </si>
  <si>
    <t>Italy</t>
  </si>
  <si>
    <t>FURIB</t>
  </si>
  <si>
    <t>Lisboa</t>
  </si>
  <si>
    <t>Portugal</t>
  </si>
  <si>
    <t>GALED</t>
  </si>
  <si>
    <t>Barcelona</t>
  </si>
  <si>
    <t>GODOS</t>
  </si>
  <si>
    <t>Sevilla</t>
  </si>
  <si>
    <t>GOURL</t>
  </si>
  <si>
    <t>Gourmet Lanchonetes</t>
  </si>
  <si>
    <t>Campinas</t>
  </si>
  <si>
    <t>GREAL</t>
  </si>
  <si>
    <t>Great Lakes Food Market</t>
  </si>
  <si>
    <t>Eugene</t>
  </si>
  <si>
    <t>USA</t>
  </si>
  <si>
    <t>GROSR</t>
  </si>
  <si>
    <t>Caracas</t>
  </si>
  <si>
    <t>Venezuela</t>
  </si>
  <si>
    <t>HANAR</t>
  </si>
  <si>
    <t>Hanari Carnes</t>
  </si>
  <si>
    <t>Rio de Janeiro</t>
  </si>
  <si>
    <t>HILAA</t>
  </si>
  <si>
    <t>San Crist�bal</t>
  </si>
  <si>
    <t>HUNGC</t>
  </si>
  <si>
    <t>Hungry Coyote Import Store</t>
  </si>
  <si>
    <t>Elgin</t>
  </si>
  <si>
    <t>HUNGO</t>
  </si>
  <si>
    <t>Hungry Owl All-Night Grocers</t>
  </si>
  <si>
    <t>Cork</t>
  </si>
  <si>
    <t>Ireland</t>
  </si>
  <si>
    <t>ISLAT</t>
  </si>
  <si>
    <t>Island Trading</t>
  </si>
  <si>
    <t>Cowes</t>
  </si>
  <si>
    <t>KOENE</t>
  </si>
  <si>
    <t>Brandenburg</t>
  </si>
  <si>
    <t>LACOR</t>
  </si>
  <si>
    <t>Versailles</t>
  </si>
  <si>
    <t>LAMAI</t>
  </si>
  <si>
    <t>Toulouse</t>
  </si>
  <si>
    <t>LAUGB</t>
  </si>
  <si>
    <t>Laughing Bacchus Wine Cellars</t>
  </si>
  <si>
    <t>Vancouver</t>
  </si>
  <si>
    <t>LAZYK</t>
  </si>
  <si>
    <t>Lazy K Kountry Store</t>
  </si>
  <si>
    <t>Walla Walla</t>
  </si>
  <si>
    <t>LEHMS</t>
  </si>
  <si>
    <t>Lehmanns Marktstand</t>
  </si>
  <si>
    <t>Frankfurt a.M.</t>
  </si>
  <si>
    <t>LETSS</t>
  </si>
  <si>
    <t>San Francisco</t>
  </si>
  <si>
    <t>LILAS</t>
  </si>
  <si>
    <t>Barquisimeto</t>
  </si>
  <si>
    <t>LINOD</t>
  </si>
  <si>
    <t>I. de Margarita</t>
  </si>
  <si>
    <t>LONEP</t>
  </si>
  <si>
    <t>Lonesome Pine Restaurant</t>
  </si>
  <si>
    <t>Portland</t>
  </si>
  <si>
    <t>MAGAA</t>
  </si>
  <si>
    <t>Magazzini Alimentari Riuniti</t>
  </si>
  <si>
    <t>Bergamo</t>
  </si>
  <si>
    <t>MAISD</t>
  </si>
  <si>
    <t>Maison Dewey</t>
  </si>
  <si>
    <t>Bruxelles</t>
  </si>
  <si>
    <t>Belgium</t>
  </si>
  <si>
    <t>MEREP</t>
  </si>
  <si>
    <t>Montr�al</t>
  </si>
  <si>
    <t>MORGK</t>
  </si>
  <si>
    <t>Morgenstern Gesundkost</t>
  </si>
  <si>
    <t>Leipzig</t>
  </si>
  <si>
    <t>NORTS</t>
  </si>
  <si>
    <t>North/South</t>
  </si>
  <si>
    <t>OCEAN</t>
  </si>
  <si>
    <t>OLDWO</t>
  </si>
  <si>
    <t>Old World Delicatessen</t>
  </si>
  <si>
    <t>Anchorage</t>
  </si>
  <si>
    <t>OTTIK</t>
  </si>
  <si>
    <t>K�ln</t>
  </si>
  <si>
    <t>PERIC</t>
  </si>
  <si>
    <t>PICCO</t>
  </si>
  <si>
    <t>Salzburg</t>
  </si>
  <si>
    <t>PRINI</t>
  </si>
  <si>
    <t>Princesa Isabel Vinhos</t>
  </si>
  <si>
    <t>QUEDE</t>
  </si>
  <si>
    <t>QUEEN</t>
  </si>
  <si>
    <t>Queen Cozinha</t>
  </si>
  <si>
    <t>QUICK</t>
  </si>
  <si>
    <t>Cunewalde</t>
  </si>
  <si>
    <t>RANCH</t>
  </si>
  <si>
    <t>RATTC</t>
  </si>
  <si>
    <t>Rattlesnake Canyon Grocery</t>
  </si>
  <si>
    <t>Albuquerque</t>
  </si>
  <si>
    <t>REGGC</t>
  </si>
  <si>
    <t>Reggiani Caseifici</t>
  </si>
  <si>
    <t>Reggio Emilia</t>
  </si>
  <si>
    <t>RICAR</t>
  </si>
  <si>
    <t>Ricardo Adocicados</t>
  </si>
  <si>
    <t>RICSU</t>
  </si>
  <si>
    <t>Richter Supermarkt</t>
  </si>
  <si>
    <t>Gen�ve</t>
  </si>
  <si>
    <t>ROMEY</t>
  </si>
  <si>
    <t>SANTG</t>
  </si>
  <si>
    <t>Sant� Gourmet</t>
  </si>
  <si>
    <t>Stavern</t>
  </si>
  <si>
    <t>Norway</t>
  </si>
  <si>
    <t>SAVEA</t>
  </si>
  <si>
    <t>Boise</t>
  </si>
  <si>
    <t>SEVES</t>
  </si>
  <si>
    <t>Seven Seas Imports</t>
  </si>
  <si>
    <t>SIMOB</t>
  </si>
  <si>
    <t>Kobenhavn</t>
  </si>
  <si>
    <t>Denmark</t>
  </si>
  <si>
    <t>SPECD</t>
  </si>
  <si>
    <t>Paris</t>
  </si>
  <si>
    <t>SPLIR</t>
  </si>
  <si>
    <t>Split Rail Beer &amp; Ale</t>
  </si>
  <si>
    <t>Lander</t>
  </si>
  <si>
    <t>SUPRD</t>
  </si>
  <si>
    <t>Charleroi</t>
  </si>
  <si>
    <t>THEBI</t>
  </si>
  <si>
    <t>The Big Cheese</t>
  </si>
  <si>
    <t>THECR</t>
  </si>
  <si>
    <t>The Cracker Box</t>
  </si>
  <si>
    <t>Butte</t>
  </si>
  <si>
    <t>TOMSP</t>
  </si>
  <si>
    <t>M�nster</t>
  </si>
  <si>
    <t>TORTU</t>
  </si>
  <si>
    <t>Tortuga Restaurante</t>
  </si>
  <si>
    <t>TRADH</t>
  </si>
  <si>
    <t>TRAIH</t>
  </si>
  <si>
    <t>Kirkland</t>
  </si>
  <si>
    <t>VAFFE</t>
  </si>
  <si>
    <t>Vaffeljernet</t>
  </si>
  <si>
    <t>�rhus</t>
  </si>
  <si>
    <t>VICTE</t>
  </si>
  <si>
    <t>Lyon</t>
  </si>
  <si>
    <t>VINET</t>
  </si>
  <si>
    <t>Reims</t>
  </si>
  <si>
    <t>WANDK</t>
  </si>
  <si>
    <t>Die Wandernde Kuh</t>
  </si>
  <si>
    <t>Stuttgart</t>
  </si>
  <si>
    <t>WARTH</t>
  </si>
  <si>
    <t>Wartian Herkku</t>
  </si>
  <si>
    <t>Oulu</t>
  </si>
  <si>
    <t>Finland</t>
  </si>
  <si>
    <t>WELLI</t>
  </si>
  <si>
    <t>Wellington Importadora</t>
  </si>
  <si>
    <t>Resende</t>
  </si>
  <si>
    <t>WHITC</t>
  </si>
  <si>
    <t>White Clover Markets</t>
  </si>
  <si>
    <t>Seattle</t>
  </si>
  <si>
    <t>WILMK</t>
  </si>
  <si>
    <t>Wilman Kala</t>
  </si>
  <si>
    <t>Helsinki</t>
  </si>
  <si>
    <t>WOLZA</t>
  </si>
  <si>
    <t>Wolski  Zajazd</t>
  </si>
  <si>
    <t>Warszawa</t>
  </si>
  <si>
    <t>Poland</t>
  </si>
  <si>
    <t xml:space="preserve">Total Revenue: </t>
  </si>
  <si>
    <t>Total Customer:</t>
  </si>
  <si>
    <t>Total Transaksi:</t>
  </si>
  <si>
    <t>Total City:</t>
  </si>
  <si>
    <t>Total Country:</t>
  </si>
  <si>
    <t>Grand Total</t>
  </si>
  <si>
    <t>Ana Trujillo Emparedados Y Helados</t>
  </si>
  <si>
    <t>Antonio Moreno Taquer�A</t>
  </si>
  <si>
    <t>Around The Horn</t>
  </si>
  <si>
    <t>Berglunds Snabbk�P</t>
  </si>
  <si>
    <t>Blondesddsl P�Re Et Fils</t>
  </si>
  <si>
    <t>B�Lido Comidas Preparadas</t>
  </si>
  <si>
    <t>Bon App'</t>
  </si>
  <si>
    <t>B'S Beverages</t>
  </si>
  <si>
    <t>Cactus Comidas Para Llevar</t>
  </si>
  <si>
    <t>Centro Comercial Moctezuma</t>
  </si>
  <si>
    <t>Chop-Suey Chinese</t>
  </si>
  <si>
    <t>Com�Rcio Mineiro</t>
  </si>
  <si>
    <t>Du Monde Entier</t>
  </si>
  <si>
    <t>Folies Gourmandes</t>
  </si>
  <si>
    <t>Folk Och F� Hb</t>
  </si>
  <si>
    <t>France Restauration</t>
  </si>
  <si>
    <t>Franchi S.P.A.</t>
  </si>
  <si>
    <t>Furia Bacalhau E Frutos Do Mar</t>
  </si>
  <si>
    <t>Galer�A Del Gastr�Nomo</t>
  </si>
  <si>
    <t>Godos Cocina T�Pica</t>
  </si>
  <si>
    <t>Grosella-Restaurante</t>
  </si>
  <si>
    <t>Hilarion-Abastos</t>
  </si>
  <si>
    <t>K�Niglich Essen</t>
  </si>
  <si>
    <t>La Corne D'Abondance</t>
  </si>
  <si>
    <t>La Maison D'Asie</t>
  </si>
  <si>
    <t>Let'S Stop N Shop</t>
  </si>
  <si>
    <t>Lila-Supermercado</t>
  </si>
  <si>
    <t>Lino-Delicateses</t>
  </si>
  <si>
    <t>M�Re Paillarde</t>
  </si>
  <si>
    <t>Oc�Ano Atl�Ntico Ltda.</t>
  </si>
  <si>
    <t>Ottilies K�Seladen</t>
  </si>
  <si>
    <t>Pericles Comidas Cl�Sicas</t>
  </si>
  <si>
    <t>Piccolo Und Mehr</t>
  </si>
  <si>
    <t>Que Del�Cia</t>
  </si>
  <si>
    <t>Quick-Stop</t>
  </si>
  <si>
    <t>Rancho Grande</t>
  </si>
  <si>
    <t>Romero Y Tomillo</t>
  </si>
  <si>
    <t>Save-A-Lot Markets</t>
  </si>
  <si>
    <t>Simons Bistro</t>
  </si>
  <si>
    <t>Sp�Cialit�S Du Monde</t>
  </si>
  <si>
    <t>Supr�Mes D�Lices</t>
  </si>
  <si>
    <t>Toms Spezialit�Ten</t>
  </si>
  <si>
    <t>Tradi��O Hipermercados</t>
  </si>
  <si>
    <t>Trail'S Head Gourmet Provisioners</t>
  </si>
  <si>
    <t>Victuailles En Stock</t>
  </si>
  <si>
    <t>Vins Et Alcools Chevalier</t>
  </si>
  <si>
    <t>Total Transaksi</t>
  </si>
  <si>
    <t>Company Name</t>
  </si>
  <si>
    <t>Total Belanja</t>
  </si>
  <si>
    <t>Churn Status</t>
  </si>
  <si>
    <t>Recency Days</t>
  </si>
  <si>
    <t>Rata Rata Belanja</t>
  </si>
  <si>
    <t>Country</t>
  </si>
  <si>
    <t>Jumlah Churn</t>
  </si>
  <si>
    <t>Persentase Jumlah Churn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</si>
</sst>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Rp&quot;#,##0.00"/>
    <numFmt numFmtId="166" formatCode="[$$-1009]#,##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0" borderId="0" xfId="0" applyFont="1"/>
    <xf numFmtId="166" fontId="0" fillId="0" borderId="0" xfId="0" applyNumberFormat="1" applyFont="1"/>
    <xf numFmtId="166" fontId="0" fillId="0" borderId="0" xfId="0" applyNumberFormat="1"/>
  </cellXfs>
  <cellStyles count="1">
    <cellStyle name="Normal" xfId="0" builtinId="0"/>
  </cellStyles>
  <dxfs count="14">
    <dxf>
      <numFmt numFmtId="166" formatCode="[$$-1009]#,##0.00"/>
    </dxf>
    <dxf>
      <numFmt numFmtId="166" formatCode="[$$-1009]#,##0.00"/>
    </dxf>
    <dxf>
      <numFmt numFmtId="164" formatCode="&quot;Rp&quot;#,##0.00"/>
    </dxf>
    <dxf>
      <numFmt numFmtId="166" formatCode="[$$-1009]#,##0.00"/>
    </dxf>
    <dxf>
      <numFmt numFmtId="164" formatCode="&quot;Rp&quot;#,##0.00"/>
    </dxf>
    <dxf>
      <numFmt numFmtId="166" formatCode="[$$-1009]#,##0.00"/>
    </dxf>
    <dxf>
      <numFmt numFmtId="164" formatCode="&quot;Rp&quot;#,##0.00"/>
    </dxf>
    <dxf>
      <numFmt numFmtId="164" formatCode="&quot;Rp&quot;#,##0.00"/>
    </dxf>
    <dxf>
      <numFmt numFmtId="19" formatCode="dd/mm/yyyy"/>
    </dxf>
    <dxf>
      <numFmt numFmtId="19" formatCode="dd/mm/yyyy"/>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[Ringkasan.xlsx]Ringkasan!PivotTable5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s>
    <c:plotArea>
      <c:layout/>
      <c:pieChart>
        <c:varyColors val="1"/>
        <c:ser>
          <c:idx val="0"/>
          <c:order val="0"/>
          <c:tx>
            <c:strRef>
              <c:f>Ringkasan!$K$16</c:f>
              <c:strCache>
                <c:ptCount val="1"/>
                <c:pt idx="0">
                  <c:v>Jumlah Churn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E3F-4023-B1D6-0CE3E41CD29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E3F-4023-B1D6-0CE3E41CD29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E3F-4023-B1D6-0CE3E41CD29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E3F-4023-B1D6-0CE3E41CD29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E3F-4023-B1D6-0CE3E41CD29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E3F-4023-B1D6-0CE3E41CD29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E3F-4023-B1D6-0CE3E41CD293}"/>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BE3F-4023-B1D6-0CE3E41CD293}"/>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BE3F-4023-B1D6-0CE3E41CD293}"/>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BE3F-4023-B1D6-0CE3E41CD293}"/>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BE3F-4023-B1D6-0CE3E41CD293}"/>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BE3F-4023-B1D6-0CE3E41CD293}"/>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BE3F-4023-B1D6-0CE3E41CD293}"/>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BE3F-4023-B1D6-0CE3E41CD293}"/>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BE3F-4023-B1D6-0CE3E41CD293}"/>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BE3F-4023-B1D6-0CE3E41CD293}"/>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BE3F-4023-B1D6-0CE3E41CD293}"/>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BE3F-4023-B1D6-0CE3E41CD293}"/>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BE3F-4023-B1D6-0CE3E41CD293}"/>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BE3F-4023-B1D6-0CE3E41CD293}"/>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BE3F-4023-B1D6-0CE3E41CD293}"/>
              </c:ext>
            </c:extLst>
          </c:dPt>
          <c:cat>
            <c:strRef>
              <c:f>Ringkasan!$J$17:$J$38</c:f>
              <c:strCache>
                <c:ptCount val="21"/>
                <c:pt idx="0">
                  <c:v>France</c:v>
                </c:pt>
                <c:pt idx="1">
                  <c:v>USA</c:v>
                </c:pt>
                <c:pt idx="2">
                  <c:v>Mexico</c:v>
                </c:pt>
                <c:pt idx="3">
                  <c:v>Brazil</c:v>
                </c:pt>
                <c:pt idx="4">
                  <c:v>UK</c:v>
                </c:pt>
                <c:pt idx="5">
                  <c:v>Canada</c:v>
                </c:pt>
                <c:pt idx="6">
                  <c:v>Venezuela</c:v>
                </c:pt>
                <c:pt idx="7">
                  <c:v>Portugal</c:v>
                </c:pt>
                <c:pt idx="8">
                  <c:v>Finland</c:v>
                </c:pt>
                <c:pt idx="9">
                  <c:v>Sweden</c:v>
                </c:pt>
                <c:pt idx="10">
                  <c:v>Germany</c:v>
                </c:pt>
                <c:pt idx="11">
                  <c:v>Poland</c:v>
                </c:pt>
                <c:pt idx="12">
                  <c:v>Belgium</c:v>
                </c:pt>
                <c:pt idx="13">
                  <c:v>Spain</c:v>
                </c:pt>
                <c:pt idx="14">
                  <c:v>Argentina</c:v>
                </c:pt>
                <c:pt idx="15">
                  <c:v>Switzerland</c:v>
                </c:pt>
                <c:pt idx="16">
                  <c:v>Denmark</c:v>
                </c:pt>
                <c:pt idx="17">
                  <c:v>Austria</c:v>
                </c:pt>
                <c:pt idx="18">
                  <c:v>Norway</c:v>
                </c:pt>
                <c:pt idx="19">
                  <c:v>Ireland</c:v>
                </c:pt>
                <c:pt idx="20">
                  <c:v>Italy</c:v>
                </c:pt>
              </c:strCache>
            </c:strRef>
          </c:cat>
          <c:val>
            <c:numRef>
              <c:f>Ringkasan!$K$17:$K$38</c:f>
              <c:numCache>
                <c:formatCode>General</c:formatCode>
                <c:ptCount val="21"/>
                <c:pt idx="0">
                  <c:v>4</c:v>
                </c:pt>
                <c:pt idx="1">
                  <c:v>3</c:v>
                </c:pt>
                <c:pt idx="2">
                  <c:v>2</c:v>
                </c:pt>
                <c:pt idx="3">
                  <c:v>2</c:v>
                </c:pt>
                <c:pt idx="4">
                  <c:v>2</c:v>
                </c:pt>
                <c:pt idx="5">
                  <c:v>2</c:v>
                </c:pt>
                <c:pt idx="6">
                  <c:v>1</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0-D97B-4530-89BC-2EAA2C8BBC84}"/>
            </c:ext>
          </c:extLst>
        </c:ser>
        <c:ser>
          <c:idx val="1"/>
          <c:order val="1"/>
          <c:tx>
            <c:strRef>
              <c:f>Ringkasan!$L$16</c:f>
              <c:strCache>
                <c:ptCount val="1"/>
                <c:pt idx="0">
                  <c:v>Persentase Jumlah Churn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B-BE3F-4023-B1D6-0CE3E41CD29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D-BE3F-4023-B1D6-0CE3E41CD29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F-BE3F-4023-B1D6-0CE3E41CD29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31-BE3F-4023-B1D6-0CE3E41CD29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33-BE3F-4023-B1D6-0CE3E41CD29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35-BE3F-4023-B1D6-0CE3E41CD29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37-BE3F-4023-B1D6-0CE3E41CD293}"/>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39-BE3F-4023-B1D6-0CE3E41CD293}"/>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3B-BE3F-4023-B1D6-0CE3E41CD293}"/>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3D-BE3F-4023-B1D6-0CE3E41CD293}"/>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3F-BE3F-4023-B1D6-0CE3E41CD293}"/>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41-BE3F-4023-B1D6-0CE3E41CD293}"/>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43-BE3F-4023-B1D6-0CE3E41CD293}"/>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45-BE3F-4023-B1D6-0CE3E41CD293}"/>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47-BE3F-4023-B1D6-0CE3E41CD293}"/>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49-BE3F-4023-B1D6-0CE3E41CD293}"/>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4B-BE3F-4023-B1D6-0CE3E41CD293}"/>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4D-BE3F-4023-B1D6-0CE3E41CD293}"/>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4F-BE3F-4023-B1D6-0CE3E41CD293}"/>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51-BE3F-4023-B1D6-0CE3E41CD293}"/>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53-BE3F-4023-B1D6-0CE3E41CD293}"/>
              </c:ext>
            </c:extLst>
          </c:dPt>
          <c:cat>
            <c:strRef>
              <c:f>Ringkasan!$J$17:$J$38</c:f>
              <c:strCache>
                <c:ptCount val="21"/>
                <c:pt idx="0">
                  <c:v>France</c:v>
                </c:pt>
                <c:pt idx="1">
                  <c:v>USA</c:v>
                </c:pt>
                <c:pt idx="2">
                  <c:v>Mexico</c:v>
                </c:pt>
                <c:pt idx="3">
                  <c:v>Brazil</c:v>
                </c:pt>
                <c:pt idx="4">
                  <c:v>UK</c:v>
                </c:pt>
                <c:pt idx="5">
                  <c:v>Canada</c:v>
                </c:pt>
                <c:pt idx="6">
                  <c:v>Venezuela</c:v>
                </c:pt>
                <c:pt idx="7">
                  <c:v>Portugal</c:v>
                </c:pt>
                <c:pt idx="8">
                  <c:v>Finland</c:v>
                </c:pt>
                <c:pt idx="9">
                  <c:v>Sweden</c:v>
                </c:pt>
                <c:pt idx="10">
                  <c:v>Germany</c:v>
                </c:pt>
                <c:pt idx="11">
                  <c:v>Poland</c:v>
                </c:pt>
                <c:pt idx="12">
                  <c:v>Belgium</c:v>
                </c:pt>
                <c:pt idx="13">
                  <c:v>Spain</c:v>
                </c:pt>
                <c:pt idx="14">
                  <c:v>Argentina</c:v>
                </c:pt>
                <c:pt idx="15">
                  <c:v>Switzerland</c:v>
                </c:pt>
                <c:pt idx="16">
                  <c:v>Denmark</c:v>
                </c:pt>
                <c:pt idx="17">
                  <c:v>Austria</c:v>
                </c:pt>
                <c:pt idx="18">
                  <c:v>Norway</c:v>
                </c:pt>
                <c:pt idx="19">
                  <c:v>Ireland</c:v>
                </c:pt>
                <c:pt idx="20">
                  <c:v>Italy</c:v>
                </c:pt>
              </c:strCache>
            </c:strRef>
          </c:cat>
          <c:val>
            <c:numRef>
              <c:f>Ringkasan!$L$17:$L$38</c:f>
              <c:numCache>
                <c:formatCode>0.00%</c:formatCode>
                <c:ptCount val="21"/>
                <c:pt idx="0">
                  <c:v>0.25</c:v>
                </c:pt>
                <c:pt idx="1">
                  <c:v>0.1875</c:v>
                </c:pt>
                <c:pt idx="2">
                  <c:v>0.125</c:v>
                </c:pt>
                <c:pt idx="3">
                  <c:v>0.125</c:v>
                </c:pt>
                <c:pt idx="4">
                  <c:v>0.125</c:v>
                </c:pt>
                <c:pt idx="5">
                  <c:v>0.125</c:v>
                </c:pt>
                <c:pt idx="6">
                  <c:v>6.25E-2</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2-D97B-4530-89BC-2EAA2C8BBC8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1</xdr:col>
      <xdr:colOff>99060</xdr:colOff>
      <xdr:row>5</xdr:row>
      <xdr:rowOff>160021</xdr:rowOff>
    </xdr:from>
    <xdr:to>
      <xdr:col>3</xdr:col>
      <xdr:colOff>0</xdr:colOff>
      <xdr:row>14</xdr:row>
      <xdr:rowOff>38101</xdr:rowOff>
    </xdr:to>
    <mc:AlternateContent xmlns:mc="http://schemas.openxmlformats.org/markup-compatibility/2006" xmlns:a14="http://schemas.microsoft.com/office/drawing/2010/main">
      <mc:Choice Requires="a14">
        <xdr:graphicFrame macro="">
          <xdr:nvGraphicFramePr>
            <xdr:cNvPr id="4" name="city">
              <a:extLst>
                <a:ext uri="{FF2B5EF4-FFF2-40B4-BE49-F238E27FC236}">
                  <a16:creationId xmlns:a16="http://schemas.microsoft.com/office/drawing/2014/main" id="{77E92A7E-EEE6-1DCB-ACE2-671E773E19ED}"/>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2164080" y="1074421"/>
              <a:ext cx="2164080" cy="15240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5</xdr:row>
      <xdr:rowOff>160021</xdr:rowOff>
    </xdr:from>
    <xdr:to>
      <xdr:col>1</xdr:col>
      <xdr:colOff>30480</xdr:colOff>
      <xdr:row>14</xdr:row>
      <xdr:rowOff>45720</xdr:rowOff>
    </xdr:to>
    <mc:AlternateContent xmlns:mc="http://schemas.openxmlformats.org/markup-compatibility/2006" xmlns:a14="http://schemas.microsoft.com/office/drawing/2010/main">
      <mc:Choice Requires="a14">
        <xdr:graphicFrame macro="">
          <xdr:nvGraphicFramePr>
            <xdr:cNvPr id="5" name="country">
              <a:extLst>
                <a:ext uri="{FF2B5EF4-FFF2-40B4-BE49-F238E27FC236}">
                  <a16:creationId xmlns:a16="http://schemas.microsoft.com/office/drawing/2014/main" id="{03C1DC6A-C805-6329-43A9-4551012DCED1}"/>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0" y="1074421"/>
              <a:ext cx="2095500" cy="153161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0</xdr:colOff>
      <xdr:row>0</xdr:row>
      <xdr:rowOff>0</xdr:rowOff>
    </xdr:from>
    <xdr:to>
      <xdr:col>6</xdr:col>
      <xdr:colOff>609600</xdr:colOff>
      <xdr:row>15</xdr:row>
      <xdr:rowOff>0</xdr:rowOff>
    </xdr:to>
    <xdr:graphicFrame macro="">
      <xdr:nvGraphicFramePr>
        <xdr:cNvPr id="10" name="Chart 9">
          <a:extLst>
            <a:ext uri="{FF2B5EF4-FFF2-40B4-BE49-F238E27FC236}">
              <a16:creationId xmlns:a16="http://schemas.microsoft.com/office/drawing/2014/main" id="{CE7F91D5-6F58-AEE0-72B7-3A7B7EF68A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PAVILION GAMING" refreshedDate="46307.294668865739" createdVersion="8" refreshedVersion="8" minRefreshableVersion="3" recordCount="89" xr:uid="{A3CD46BC-0FE4-482F-8F45-E67BF2A8C826}">
  <cacheSource type="worksheet">
    <worksheetSource name="customer_master_pipeline_202610120635"/>
  </cacheSource>
  <cacheFields count="11">
    <cacheField name="customer_id" numFmtId="0">
      <sharedItems/>
    </cacheField>
    <cacheField name="company_name" numFmtId="0">
      <sharedItems count="89">
        <s v="Alfreds Futterkiste"/>
        <s v="Ana Trujillo Emparedados Y Helados"/>
        <s v="Antonio Moreno Taquer�A"/>
        <s v="Around The Horn"/>
        <s v="Berglunds Snabbk�P"/>
        <s v="Blauer See Delikatessen"/>
        <s v="Blondesddsl P�Re Et Fils"/>
        <s v="B�Lido Comidas Preparadas"/>
        <s v="Bon App'"/>
        <s v="Bottom-Dollar Markets"/>
        <s v="B'S Beverages"/>
        <s v="Cactus Comidas Para Llevar"/>
        <s v="Centro Comercial Moctezuma"/>
        <s v="Chop-Suey Chinese"/>
        <s v="Com�Rcio Mineiro"/>
        <s v="Consolidated Holdings"/>
        <s v="Drachenblut Delikatessen"/>
        <s v="Du Monde Entier"/>
        <s v="Eastern Connection"/>
        <s v="Ernst Handel"/>
        <s v="Familia Arquibaldo"/>
        <s v="Folies Gourmandes"/>
        <s v="Folk Och F� Hb"/>
        <s v="Frankenversand"/>
        <s v="France Restauration"/>
        <s v="Franchi S.P.A."/>
        <s v="Furia Bacalhau E Frutos Do Mar"/>
        <s v="Galer�A Del Gastr�Nomo"/>
        <s v="Godos Cocina T�Pica"/>
        <s v="Gourmet Lanchonetes"/>
        <s v="Great Lakes Food Market"/>
        <s v="Grosella-Restaurante"/>
        <s v="Hanari Carnes"/>
        <s v="Hilarion-Abastos"/>
        <s v="Hungry Coyote Import Store"/>
        <s v="Hungry Owl All-Night Grocers"/>
        <s v="Island Trading"/>
        <s v="K�Niglich Essen"/>
        <s v="La Corne D'Abondance"/>
        <s v="La Maison D'Asie"/>
        <s v="Laughing Bacchus Wine Cellars"/>
        <s v="Lazy K Kountry Store"/>
        <s v="Lehmanns Marktstand"/>
        <s v="Let'S Stop N Shop"/>
        <s v="Lila-Supermercado"/>
        <s v="Lino-Delicateses"/>
        <s v="Lonesome Pine Restaurant"/>
        <s v="Magazzini Alimentari Riuniti"/>
        <s v="Maison Dewey"/>
        <s v="M�Re Paillarde"/>
        <s v="Morgenstern Gesundkost"/>
        <s v="North/South"/>
        <s v="Oc�Ano Atl�Ntico Ltda."/>
        <s v="Old World Delicatessen"/>
        <s v="Ottilies K�Seladen"/>
        <s v="Pericles Comidas Cl�Sicas"/>
        <s v="Piccolo Und Mehr"/>
        <s v="Princesa Isabel Vinhos"/>
        <s v="Que Del�Cia"/>
        <s v="Queen Cozinha"/>
        <s v="Quick-Stop"/>
        <s v="Rancho Grande"/>
        <s v="Rattlesnake Canyon Grocery"/>
        <s v="Reggiani Caseifici"/>
        <s v="Ricardo Adocicados"/>
        <s v="Richter Supermarkt"/>
        <s v="Romero Y Tomillo"/>
        <s v="Sant� Gourmet"/>
        <s v="Save-A-Lot Markets"/>
        <s v="Seven Seas Imports"/>
        <s v="Simons Bistro"/>
        <s v="Sp�Cialit�S Du Monde"/>
        <s v="Split Rail Beer &amp; Ale"/>
        <s v="Supr�Mes D�Lices"/>
        <s v="The Big Cheese"/>
        <s v="The Cracker Box"/>
        <s v="Toms Spezialit�Ten"/>
        <s v="Tortuga Restaurante"/>
        <s v="Tradi��O Hipermercados"/>
        <s v="Trail'S Head Gourmet Provisioners"/>
        <s v="Vaffeljernet"/>
        <s v="Victuailles En Stock"/>
        <s v="Vins Et Alcools Chevalier"/>
        <s v="Die Wandernde Kuh"/>
        <s v="Wartian Herkku"/>
        <s v="Wellington Importadora"/>
        <s v="White Clover Markets"/>
        <s v="Wilman Kala"/>
        <s v="Wolski  Zajazd"/>
      </sharedItems>
    </cacheField>
    <cacheField name="city" numFmtId="0">
      <sharedItems count="69">
        <s v="Berlin"/>
        <s v="Mexico City"/>
        <s v="London"/>
        <s v="Lule�"/>
        <s v="Mannheim"/>
        <s v="Strasbourg"/>
        <s v="Madrid"/>
        <s v="Marseille"/>
        <s v="Tsawassen"/>
        <s v="Buenos Aires"/>
        <s v="Bern"/>
        <s v="Sao Paulo"/>
        <s v="Aachen"/>
        <s v="Nantes"/>
        <s v="Graz"/>
        <s v="Lille"/>
        <s v="Br�cke"/>
        <s v="M�nchen"/>
        <s v="Torino"/>
        <s v="Lisboa"/>
        <s v="Barcelona"/>
        <s v="Sevilla"/>
        <s v="Campinas"/>
        <s v="Eugene"/>
        <s v="Caracas"/>
        <s v="Rio de Janeiro"/>
        <s v="San Crist�bal"/>
        <s v="Elgin"/>
        <s v="Cork"/>
        <s v="Cowes"/>
        <s v="Brandenburg"/>
        <s v="Versailles"/>
        <s v="Toulouse"/>
        <s v="Vancouver"/>
        <s v="Walla Walla"/>
        <s v="Frankfurt a.M."/>
        <s v="San Francisco"/>
        <s v="Barquisimeto"/>
        <s v="I. de Margarita"/>
        <s v="Portland"/>
        <s v="Bergamo"/>
        <s v="Bruxelles"/>
        <s v="Montr�al"/>
        <s v="Leipzig"/>
        <s v="Anchorage"/>
        <s v="K�ln"/>
        <s v="Salzburg"/>
        <s v="Cunewalde"/>
        <s v="Albuquerque"/>
        <s v="Reggio Emilia"/>
        <s v="Gen�ve"/>
        <s v="Stavern"/>
        <s v="Boise"/>
        <s v="Kobenhavn"/>
        <s v="Paris"/>
        <s v="Lander"/>
        <s v="Charleroi"/>
        <s v="Butte"/>
        <s v="M�nster"/>
        <s v="Kirkland"/>
        <s v="�rhus"/>
        <s v="Lyon"/>
        <s v="Reims"/>
        <s v="Stuttgart"/>
        <s v="Oulu"/>
        <s v="Resende"/>
        <s v="Seattle"/>
        <s v="Helsinki"/>
        <s v="Warszawa"/>
      </sharedItems>
    </cacheField>
    <cacheField name="country" numFmtId="0">
      <sharedItems count="21">
        <s v="Germany"/>
        <s v="Mexico"/>
        <s v="UK"/>
        <s v="Sweden"/>
        <s v="France"/>
        <s v="Spain"/>
        <s v="Canada"/>
        <s v="Argentina"/>
        <s v="Switzerland"/>
        <s v="Brazil"/>
        <s v="Austria"/>
        <s v="Italy"/>
        <s v="Portugal"/>
        <s v="USA"/>
        <s v="Venezuela"/>
        <s v="Ireland"/>
        <s v="Belgium"/>
        <s v="Norway"/>
        <s v="Denmark"/>
        <s v="Finland"/>
        <s v="Poland"/>
      </sharedItems>
    </cacheField>
    <cacheField name="first_order_date" numFmtId="14">
      <sharedItems containsSemiMixedTypes="0" containsNonDate="0" containsDate="1" containsString="0" minDate="2013-07-04T00:00:00" maxDate="2015-01-30T00:00:00"/>
    </cacheField>
    <cacheField name="last_order_date" numFmtId="14">
      <sharedItems containsSemiMixedTypes="0" containsNonDate="0" containsDate="1" containsString="0" minDate="2013-07-18T00:00:00" maxDate="2015-05-07T00:00:00"/>
    </cacheField>
    <cacheField name="total_transaksi" numFmtId="0">
      <sharedItems containsSemiMixedTypes="0" containsString="0" containsNumber="1" containsInteger="1" minValue="1" maxValue="31"/>
    </cacheField>
    <cacheField name="total_belanja" numFmtId="0">
      <sharedItems containsSemiMixedTypes="0" containsString="0" containsNumber="1" containsInteger="1" minValue="10080" maxValue="11027731"/>
    </cacheField>
    <cacheField name="recency_days" numFmtId="0">
      <sharedItems containsSemiMixedTypes="0" containsString="0" containsNumber="1" containsInteger="1" minValue="0" maxValue="657"/>
    </cacheField>
    <cacheField name="avg_order_value" numFmtId="0">
      <sharedItems containsSemiMixedTypes="0" containsString="0" containsNumber="1" containsInteger="1" minValue="10080" maxValue="393848"/>
    </cacheField>
    <cacheField name="is_churn"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11311737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9">
  <r>
    <s v="ALFKI"/>
    <x v="0"/>
    <x v="0"/>
    <x v="0"/>
    <d v="2014-08-25T00:00:00"/>
    <d v="2015-04-09T00:00:00"/>
    <n v="6"/>
    <n v="427300"/>
    <n v="27"/>
    <n v="71217"/>
    <n v="0"/>
  </r>
  <r>
    <s v="ANATR"/>
    <x v="1"/>
    <x v="1"/>
    <x v="1"/>
    <d v="2013-09-18T00:00:00"/>
    <d v="2015-03-04T00:00:00"/>
    <n v="4"/>
    <n v="140295"/>
    <n v="63"/>
    <n v="35074"/>
    <n v="0"/>
  </r>
  <r>
    <s v="ANTON"/>
    <x v="2"/>
    <x v="1"/>
    <x v="1"/>
    <d v="2013-11-27T00:00:00"/>
    <d v="2015-01-28T00:00:00"/>
    <n v="7"/>
    <n v="702398"/>
    <n v="98"/>
    <n v="100343"/>
    <n v="1"/>
  </r>
  <r>
    <s v="AROUT"/>
    <x v="3"/>
    <x v="2"/>
    <x v="2"/>
    <d v="2013-11-15T00:00:00"/>
    <d v="2015-04-10T00:00:00"/>
    <n v="13"/>
    <n v="1339065"/>
    <n v="26"/>
    <n v="103005"/>
    <n v="0"/>
  </r>
  <r>
    <s v="BERGS"/>
    <x v="4"/>
    <x v="3"/>
    <x v="3"/>
    <d v="2013-08-12T00:00:00"/>
    <d v="2015-03-04T00:00:00"/>
    <n v="18"/>
    <n v="2492758"/>
    <n v="63"/>
    <n v="138487"/>
    <n v="0"/>
  </r>
  <r>
    <s v="BLAUS"/>
    <x v="5"/>
    <x v="4"/>
    <x v="0"/>
    <d v="2014-04-09T00:00:00"/>
    <d v="2015-04-29T00:00:00"/>
    <n v="7"/>
    <n v="323980"/>
    <n v="7"/>
    <n v="46283"/>
    <n v="0"/>
  </r>
  <r>
    <s v="BLONP"/>
    <x v="6"/>
    <x v="5"/>
    <x v="4"/>
    <d v="2013-07-25T00:00:00"/>
    <d v="2015-01-12T00:00:00"/>
    <n v="11"/>
    <n v="1853408"/>
    <n v="114"/>
    <n v="168492"/>
    <n v="1"/>
  </r>
  <r>
    <s v="BOLID"/>
    <x v="7"/>
    <x v="6"/>
    <x v="5"/>
    <d v="2013-10-10T00:00:00"/>
    <d v="2015-03-24T00:00:00"/>
    <n v="3"/>
    <n v="423285"/>
    <n v="43"/>
    <n v="141095"/>
    <n v="0"/>
  </r>
  <r>
    <s v="BONAP"/>
    <x v="8"/>
    <x v="7"/>
    <x v="4"/>
    <d v="2013-10-16T00:00:00"/>
    <d v="2015-05-06T00:00:00"/>
    <n v="17"/>
    <n v="2196325"/>
    <n v="0"/>
    <n v="129196"/>
    <n v="0"/>
  </r>
  <r>
    <s v="BOTTM"/>
    <x v="9"/>
    <x v="8"/>
    <x v="6"/>
    <d v="2013-12-20T00:00:00"/>
    <d v="2015-04-24T00:00:00"/>
    <n v="14"/>
    <n v="2080160"/>
    <n v="12"/>
    <n v="148583"/>
    <n v="0"/>
  </r>
  <r>
    <s v="BSBEV"/>
    <x v="10"/>
    <x v="2"/>
    <x v="2"/>
    <d v="2013-08-26T00:00:00"/>
    <d v="2015-04-14T00:00:00"/>
    <n v="10"/>
    <n v="608990"/>
    <n v="22"/>
    <n v="60899"/>
    <n v="0"/>
  </r>
  <r>
    <s v="CACTU"/>
    <x v="11"/>
    <x v="9"/>
    <x v="7"/>
    <d v="2014-04-29T00:00:00"/>
    <d v="2015-04-28T00:00:00"/>
    <n v="6"/>
    <n v="181480"/>
    <n v="8"/>
    <n v="30247"/>
    <n v="0"/>
  </r>
  <r>
    <s v="CENTC"/>
    <x v="12"/>
    <x v="1"/>
    <x v="1"/>
    <d v="2013-07-18T00:00:00"/>
    <d v="2013-07-18T00:00:00"/>
    <n v="1"/>
    <n v="10080"/>
    <n v="657"/>
    <n v="10080"/>
    <n v="1"/>
  </r>
  <r>
    <s v="CHOPS"/>
    <x v="13"/>
    <x v="10"/>
    <x v="8"/>
    <d v="2013-07-11T00:00:00"/>
    <d v="2015-04-22T00:00:00"/>
    <n v="8"/>
    <n v="1234888"/>
    <n v="14"/>
    <n v="154361"/>
    <n v="0"/>
  </r>
  <r>
    <s v="COMMI"/>
    <x v="14"/>
    <x v="11"/>
    <x v="9"/>
    <d v="2013-08-27T00:00:00"/>
    <d v="2015-04-22T00:00:00"/>
    <n v="5"/>
    <n v="381075"/>
    <n v="14"/>
    <n v="76215"/>
    <n v="0"/>
  </r>
  <r>
    <s v="CONSH"/>
    <x v="15"/>
    <x v="2"/>
    <x v="2"/>
    <d v="2014-02-04T00:00:00"/>
    <d v="2015-01-23T00:00:00"/>
    <n v="3"/>
    <n v="171910"/>
    <n v="103"/>
    <n v="57303"/>
    <n v="1"/>
  </r>
  <r>
    <s v="DRACD"/>
    <x v="16"/>
    <x v="12"/>
    <x v="0"/>
    <d v="2013-11-26T00:00:00"/>
    <d v="2015-05-04T00:00:00"/>
    <n v="6"/>
    <n v="376321"/>
    <n v="2"/>
    <n v="62720"/>
    <n v="0"/>
  </r>
  <r>
    <s v="DUMON"/>
    <x v="17"/>
    <x v="13"/>
    <x v="4"/>
    <d v="2013-09-20T00:00:00"/>
    <d v="2015-02-16T00:00:00"/>
    <n v="4"/>
    <n v="161590"/>
    <n v="79"/>
    <n v="40398"/>
    <n v="0"/>
  </r>
  <r>
    <s v="EASTC"/>
    <x v="18"/>
    <x v="2"/>
    <x v="2"/>
    <d v="2013-11-26T00:00:00"/>
    <d v="2015-04-28T00:00:00"/>
    <n v="8"/>
    <n v="1476103"/>
    <n v="8"/>
    <n v="184513"/>
    <n v="0"/>
  </r>
  <r>
    <s v="ERNSH"/>
    <x v="19"/>
    <x v="14"/>
    <x v="10"/>
    <d v="2013-07-17T00:00:00"/>
    <d v="2015-05-05T00:00:00"/>
    <n v="30"/>
    <n v="10487498"/>
    <n v="1"/>
    <n v="349583"/>
    <n v="0"/>
  </r>
  <r>
    <s v="FAMIA"/>
    <x v="20"/>
    <x v="11"/>
    <x v="9"/>
    <d v="2013-11-06T00:00:00"/>
    <d v="2014-10-31T00:00:00"/>
    <n v="7"/>
    <n v="410755"/>
    <n v="187"/>
    <n v="58679"/>
    <n v="1"/>
  </r>
  <r>
    <s v="FOLIG"/>
    <x v="21"/>
    <x v="15"/>
    <x v="4"/>
    <d v="2014-01-08T00:00:00"/>
    <d v="2014-12-22T00:00:00"/>
    <n v="5"/>
    <n v="1166690"/>
    <n v="135"/>
    <n v="233338"/>
    <n v="1"/>
  </r>
  <r>
    <s v="FOLKO"/>
    <x v="22"/>
    <x v="16"/>
    <x v="3"/>
    <d v="2013-07-24T00:00:00"/>
    <d v="2015-04-27T00:00:00"/>
    <n v="19"/>
    <n v="2956756"/>
    <n v="9"/>
    <n v="155619"/>
    <n v="0"/>
  </r>
  <r>
    <s v="FRANK"/>
    <x v="23"/>
    <x v="17"/>
    <x v="0"/>
    <d v="2013-07-29T00:00:00"/>
    <d v="2015-04-09T00:00:00"/>
    <n v="15"/>
    <n v="2665656"/>
    <n v="27"/>
    <n v="177710"/>
    <n v="0"/>
  </r>
  <r>
    <s v="FRANR"/>
    <x v="24"/>
    <x v="13"/>
    <x v="4"/>
    <d v="2014-09-17T00:00:00"/>
    <d v="2015-03-24T00:00:00"/>
    <n v="3"/>
    <n v="317216"/>
    <n v="43"/>
    <n v="105739"/>
    <n v="0"/>
  </r>
  <r>
    <s v="FRANS"/>
    <x v="25"/>
    <x v="18"/>
    <x v="11"/>
    <d v="2014-01-22T00:00:00"/>
    <d v="2015-04-30T00:00:00"/>
    <n v="6"/>
    <n v="154570"/>
    <n v="6"/>
    <n v="25762"/>
    <n v="0"/>
  </r>
  <r>
    <s v="FURIB"/>
    <x v="26"/>
    <x v="19"/>
    <x v="12"/>
    <d v="2013-10-14T00:00:00"/>
    <d v="2015-03-19T00:00:00"/>
    <n v="8"/>
    <n v="642742"/>
    <n v="48"/>
    <n v="80343"/>
    <n v="0"/>
  </r>
  <r>
    <s v="GALED"/>
    <x v="27"/>
    <x v="20"/>
    <x v="5"/>
    <d v="2013-11-28T00:00:00"/>
    <d v="2015-03-05T00:00:00"/>
    <n v="5"/>
    <n v="83670"/>
    <n v="62"/>
    <n v="16734"/>
    <n v="0"/>
  </r>
  <r>
    <s v="GODOS"/>
    <x v="28"/>
    <x v="21"/>
    <x v="5"/>
    <d v="2013-09-11T00:00:00"/>
    <d v="2015-04-21T00:00:00"/>
    <n v="10"/>
    <n v="1144636"/>
    <n v="15"/>
    <n v="114464"/>
    <n v="0"/>
  </r>
  <r>
    <s v="GOURL"/>
    <x v="29"/>
    <x v="22"/>
    <x v="9"/>
    <d v="2014-01-23T00:00:00"/>
    <d v="2015-04-24T00:00:00"/>
    <n v="9"/>
    <n v="841413"/>
    <n v="12"/>
    <n v="93490"/>
    <n v="0"/>
  </r>
  <r>
    <s v="GREAL"/>
    <x v="30"/>
    <x v="23"/>
    <x v="13"/>
    <d v="2014-05-06T00:00:00"/>
    <d v="2015-04-30T00:00:00"/>
    <n v="11"/>
    <n v="1850745"/>
    <n v="6"/>
    <n v="168250"/>
    <n v="0"/>
  </r>
  <r>
    <s v="GROSR"/>
    <x v="31"/>
    <x v="24"/>
    <x v="14"/>
    <d v="2013-07-30T00:00:00"/>
    <d v="2014-12-18T00:00:00"/>
    <n v="2"/>
    <n v="148870"/>
    <n v="139"/>
    <n v="74435"/>
    <n v="1"/>
  </r>
  <r>
    <s v="HANAR"/>
    <x v="32"/>
    <x v="25"/>
    <x v="9"/>
    <d v="2013-07-08T00:00:00"/>
    <d v="2015-04-27T00:00:00"/>
    <n v="14"/>
    <n v="3284137"/>
    <n v="9"/>
    <n v="234581"/>
    <n v="0"/>
  </r>
  <r>
    <s v="HILAA"/>
    <x v="33"/>
    <x v="26"/>
    <x v="14"/>
    <d v="2013-07-16T00:00:00"/>
    <d v="2015-04-28T00:00:00"/>
    <n v="18"/>
    <n v="2276876"/>
    <n v="8"/>
    <n v="126493"/>
    <n v="0"/>
  </r>
  <r>
    <s v="HUNGC"/>
    <x v="34"/>
    <x v="27"/>
    <x v="13"/>
    <d v="2013-12-06T00:00:00"/>
    <d v="2014-09-08T00:00:00"/>
    <n v="5"/>
    <n v="306320"/>
    <n v="240"/>
    <n v="61264"/>
    <n v="1"/>
  </r>
  <r>
    <s v="HUNGO"/>
    <x v="35"/>
    <x v="28"/>
    <x v="15"/>
    <d v="2013-09-05T00:00:00"/>
    <d v="2015-04-30T00:00:00"/>
    <n v="19"/>
    <n v="4997991"/>
    <n v="6"/>
    <n v="263052"/>
    <n v="0"/>
  </r>
  <r>
    <s v="ISLAT"/>
    <x v="36"/>
    <x v="29"/>
    <x v="2"/>
    <d v="2013-09-26T00:00:00"/>
    <d v="2015-03-06T00:00:00"/>
    <n v="10"/>
    <n v="614630"/>
    <n v="61"/>
    <n v="61463"/>
    <n v="0"/>
  </r>
  <r>
    <s v="KOENE"/>
    <x v="37"/>
    <x v="30"/>
    <x v="0"/>
    <d v="2013-10-07T00:00:00"/>
    <d v="2015-04-16T00:00:00"/>
    <n v="14"/>
    <n v="3090838"/>
    <n v="20"/>
    <n v="220774"/>
    <n v="0"/>
  </r>
  <r>
    <s v="LACOR"/>
    <x v="38"/>
    <x v="31"/>
    <x v="4"/>
    <d v="2015-01-29T00:00:00"/>
    <d v="2015-03-24T00:00:00"/>
    <n v="4"/>
    <n v="199205"/>
    <n v="43"/>
    <n v="49801"/>
    <n v="0"/>
  </r>
  <r>
    <s v="LAMAI"/>
    <x v="39"/>
    <x v="32"/>
    <x v="4"/>
    <d v="2013-11-11T00:00:00"/>
    <d v="2015-04-27T00:00:00"/>
    <n v="14"/>
    <n v="932820"/>
    <n v="9"/>
    <n v="66630"/>
    <n v="0"/>
  </r>
  <r>
    <s v="LAUGB"/>
    <x v="40"/>
    <x v="33"/>
    <x v="6"/>
    <d v="2014-04-03T00:00:00"/>
    <d v="2015-01-01T00:00:00"/>
    <n v="3"/>
    <n v="52250"/>
    <n v="125"/>
    <n v="17417"/>
    <n v="1"/>
  </r>
  <r>
    <s v="LAZYK"/>
    <x v="41"/>
    <x v="34"/>
    <x v="13"/>
    <d v="2014-03-21T00:00:00"/>
    <d v="2014-05-22T00:00:00"/>
    <n v="2"/>
    <n v="35700"/>
    <n v="349"/>
    <n v="17850"/>
    <n v="1"/>
  </r>
  <r>
    <s v="LEHMS"/>
    <x v="42"/>
    <x v="35"/>
    <x v="0"/>
    <d v="2013-08-13T00:00:00"/>
    <d v="2015-05-05T00:00:00"/>
    <n v="15"/>
    <n v="1926141"/>
    <n v="1"/>
    <n v="128409"/>
    <n v="0"/>
  </r>
  <r>
    <s v="LETSS"/>
    <x v="43"/>
    <x v="36"/>
    <x v="13"/>
    <d v="2014-06-25T00:00:00"/>
    <d v="2015-02-12T00:00:00"/>
    <n v="4"/>
    <n v="307647"/>
    <n v="83"/>
    <n v="76912"/>
    <n v="0"/>
  </r>
  <r>
    <s v="LILAS"/>
    <x v="44"/>
    <x v="37"/>
    <x v="14"/>
    <d v="2013-08-16T00:00:00"/>
    <d v="2015-05-05T00:00:00"/>
    <n v="14"/>
    <n v="1607660"/>
    <n v="1"/>
    <n v="114833"/>
    <n v="0"/>
  </r>
  <r>
    <s v="LINOD"/>
    <x v="45"/>
    <x v="38"/>
    <x v="14"/>
    <d v="2014-01-06T00:00:00"/>
    <d v="2015-04-21T00:00:00"/>
    <n v="12"/>
    <n v="1647656"/>
    <n v="15"/>
    <n v="137305"/>
    <n v="0"/>
  </r>
  <r>
    <s v="LONEP"/>
    <x v="46"/>
    <x v="39"/>
    <x v="13"/>
    <d v="2013-09-17T00:00:00"/>
    <d v="2015-04-13T00:00:00"/>
    <n v="8"/>
    <n v="425860"/>
    <n v="23"/>
    <n v="53233"/>
    <n v="0"/>
  </r>
  <r>
    <s v="MAGAA"/>
    <x v="47"/>
    <x v="40"/>
    <x v="11"/>
    <d v="2013-08-07T00:00:00"/>
    <d v="2015-03-16T00:00:00"/>
    <n v="10"/>
    <n v="717621"/>
    <n v="51"/>
    <n v="71762"/>
    <n v="0"/>
  </r>
  <r>
    <s v="MAISD"/>
    <x v="48"/>
    <x v="41"/>
    <x v="16"/>
    <d v="2014-05-07T00:00:00"/>
    <d v="2015-04-07T00:00:00"/>
    <n v="7"/>
    <n v="973608"/>
    <n v="29"/>
    <n v="139087"/>
    <n v="0"/>
  </r>
  <r>
    <s v="MEREP"/>
    <x v="49"/>
    <x v="42"/>
    <x v="6"/>
    <d v="2013-10-17T00:00:00"/>
    <d v="2014-10-30T00:00:00"/>
    <n v="13"/>
    <n v="2887219"/>
    <n v="188"/>
    <n v="222094"/>
    <n v="1"/>
  </r>
  <r>
    <s v="MORGK"/>
    <x v="50"/>
    <x v="43"/>
    <x v="0"/>
    <d v="2013-08-09T00:00:00"/>
    <d v="2015-03-12T00:00:00"/>
    <n v="5"/>
    <n v="504220"/>
    <n v="55"/>
    <n v="100844"/>
    <n v="0"/>
  </r>
  <r>
    <s v="NORTS"/>
    <x v="51"/>
    <x v="2"/>
    <x v="2"/>
    <d v="2014-04-24T00:00:00"/>
    <d v="2015-04-29T00:00:00"/>
    <n v="3"/>
    <n v="64900"/>
    <n v="7"/>
    <n v="21633"/>
    <n v="0"/>
  </r>
  <r>
    <s v="OCEAN"/>
    <x v="52"/>
    <x v="9"/>
    <x v="7"/>
    <d v="2014-01-09T00:00:00"/>
    <d v="2015-03-30T00:00:00"/>
    <n v="5"/>
    <n v="346020"/>
    <n v="37"/>
    <n v="69204"/>
    <n v="0"/>
  </r>
  <r>
    <s v="OLDWO"/>
    <x v="53"/>
    <x v="44"/>
    <x v="13"/>
    <d v="2013-09-13T00:00:00"/>
    <d v="2015-04-20T00:00:00"/>
    <n v="10"/>
    <n v="1517746"/>
    <n v="16"/>
    <n v="151775"/>
    <n v="0"/>
  </r>
  <r>
    <s v="OTTIK"/>
    <x v="54"/>
    <x v="45"/>
    <x v="0"/>
    <d v="2013-07-19T00:00:00"/>
    <d v="2015-04-14T00:00:00"/>
    <n v="10"/>
    <n v="1249620"/>
    <n v="22"/>
    <n v="124962"/>
    <n v="0"/>
  </r>
  <r>
    <s v="PERIC"/>
    <x v="55"/>
    <x v="1"/>
    <x v="1"/>
    <d v="2013-10-04T00:00:00"/>
    <d v="2015-05-05T00:00:00"/>
    <n v="6"/>
    <n v="424220"/>
    <n v="1"/>
    <n v="70703"/>
    <n v="0"/>
  </r>
  <r>
    <s v="PICCO"/>
    <x v="56"/>
    <x v="46"/>
    <x v="10"/>
    <d v="2013-11-13T00:00:00"/>
    <d v="2015-04-27T00:00:00"/>
    <n v="10"/>
    <n v="2312886"/>
    <n v="9"/>
    <n v="231289"/>
    <n v="0"/>
  </r>
  <r>
    <s v="PRINI"/>
    <x v="57"/>
    <x v="19"/>
    <x v="12"/>
    <d v="2013-10-23T00:00:00"/>
    <d v="2015-04-08T00:00:00"/>
    <n v="5"/>
    <n v="504494"/>
    <n v="28"/>
    <n v="100899"/>
    <n v="0"/>
  </r>
  <r>
    <s v="QUEDE"/>
    <x v="58"/>
    <x v="25"/>
    <x v="9"/>
    <d v="2013-07-19T00:00:00"/>
    <d v="2015-03-31T00:00:00"/>
    <n v="9"/>
    <n v="666481"/>
    <n v="36"/>
    <n v="74053"/>
    <n v="0"/>
  </r>
  <r>
    <s v="QUEEN"/>
    <x v="59"/>
    <x v="11"/>
    <x v="9"/>
    <d v="2013-12-04T00:00:00"/>
    <d v="2015-05-04T00:00:00"/>
    <n v="13"/>
    <n v="2571750"/>
    <n v="2"/>
    <n v="197827"/>
    <n v="0"/>
  </r>
  <r>
    <s v="QUICK"/>
    <x v="60"/>
    <x v="47"/>
    <x v="0"/>
    <d v="2013-08-05T00:00:00"/>
    <d v="2015-04-14T00:00:00"/>
    <n v="28"/>
    <n v="11027731"/>
    <n v="22"/>
    <n v="393848"/>
    <n v="0"/>
  </r>
  <r>
    <s v="RANCH"/>
    <x v="61"/>
    <x v="9"/>
    <x v="7"/>
    <d v="2014-02-17T00:00:00"/>
    <d v="2015-04-13T00:00:00"/>
    <n v="5"/>
    <n v="284410"/>
    <n v="23"/>
    <n v="56882"/>
    <n v="0"/>
  </r>
  <r>
    <s v="RATTC"/>
    <x v="62"/>
    <x v="48"/>
    <x v="13"/>
    <d v="2013-07-22T00:00:00"/>
    <d v="2015-05-06T00:00:00"/>
    <n v="18"/>
    <n v="5109780"/>
    <n v="0"/>
    <n v="283877"/>
    <n v="0"/>
  </r>
  <r>
    <s v="REGGC"/>
    <x v="63"/>
    <x v="49"/>
    <x v="11"/>
    <d v="2013-08-23T00:00:00"/>
    <d v="2015-04-30T00:00:00"/>
    <n v="12"/>
    <n v="704824"/>
    <n v="6"/>
    <n v="58735"/>
    <n v="0"/>
  </r>
  <r>
    <s v="RICAR"/>
    <x v="64"/>
    <x v="25"/>
    <x v="9"/>
    <d v="2013-08-22T00:00:00"/>
    <d v="2015-04-29T00:00:00"/>
    <n v="11"/>
    <n v="1245080"/>
    <n v="7"/>
    <n v="113189"/>
    <n v="0"/>
  </r>
  <r>
    <s v="RICSU"/>
    <x v="65"/>
    <x v="50"/>
    <x v="8"/>
    <d v="2013-07-12T00:00:00"/>
    <d v="2015-05-06T00:00:00"/>
    <n v="10"/>
    <n v="1934378"/>
    <n v="0"/>
    <n v="193438"/>
    <n v="0"/>
  </r>
  <r>
    <s v="ROMEY"/>
    <x v="66"/>
    <x v="6"/>
    <x v="5"/>
    <d v="2013-08-14T00:00:00"/>
    <d v="2015-04-09T00:00:00"/>
    <n v="5"/>
    <n v="146729"/>
    <n v="27"/>
    <n v="29346"/>
    <n v="0"/>
  </r>
  <r>
    <s v="SANTG"/>
    <x v="67"/>
    <x v="51"/>
    <x v="17"/>
    <d v="2013-12-18T00:00:00"/>
    <d v="2015-04-10T00:00:00"/>
    <n v="6"/>
    <n v="573515"/>
    <n v="26"/>
    <n v="95586"/>
    <n v="0"/>
  </r>
  <r>
    <s v="SAVEA"/>
    <x v="68"/>
    <x v="52"/>
    <x v="13"/>
    <d v="2013-10-08T00:00:00"/>
    <d v="2015-05-01T00:00:00"/>
    <n v="31"/>
    <n v="10436195"/>
    <n v="5"/>
    <n v="336651"/>
    <n v="0"/>
  </r>
  <r>
    <s v="SEVES"/>
    <x v="69"/>
    <x v="2"/>
    <x v="2"/>
    <d v="2013-11-21T00:00:00"/>
    <d v="2015-02-04T00:00:00"/>
    <n v="9"/>
    <n v="1621533"/>
    <n v="91"/>
    <n v="180170"/>
    <n v="1"/>
  </r>
  <r>
    <s v="SIMOB"/>
    <x v="70"/>
    <x v="53"/>
    <x v="18"/>
    <d v="2013-10-29T00:00:00"/>
    <d v="2015-05-06T00:00:00"/>
    <n v="7"/>
    <n v="1681710"/>
    <n v="0"/>
    <n v="240244"/>
    <n v="0"/>
  </r>
  <r>
    <s v="SPECD"/>
    <x v="71"/>
    <x v="54"/>
    <x v="4"/>
    <d v="2014-11-12T00:00:00"/>
    <d v="2015-04-22T00:00:00"/>
    <n v="4"/>
    <n v="242335"/>
    <n v="14"/>
    <n v="60584"/>
    <n v="0"/>
  </r>
  <r>
    <s v="SPLIR"/>
    <x v="72"/>
    <x v="55"/>
    <x v="13"/>
    <d v="2013-08-01T00:00:00"/>
    <d v="2015-03-25T00:00:00"/>
    <n v="9"/>
    <n v="1144163"/>
    <n v="42"/>
    <n v="127129"/>
    <n v="0"/>
  </r>
  <r>
    <s v="SUPRD"/>
    <x v="73"/>
    <x v="56"/>
    <x v="16"/>
    <d v="2013-07-09T00:00:00"/>
    <d v="2015-04-21T00:00:00"/>
    <n v="12"/>
    <n v="2408878"/>
    <n v="15"/>
    <n v="200740"/>
    <n v="0"/>
  </r>
  <r>
    <s v="THEBI"/>
    <x v="74"/>
    <x v="39"/>
    <x v="13"/>
    <d v="2013-09-20T00:00:00"/>
    <d v="2015-04-01T00:00:00"/>
    <n v="4"/>
    <n v="336100"/>
    <n v="35"/>
    <n v="84025"/>
    <n v="0"/>
  </r>
  <r>
    <s v="THECR"/>
    <x v="75"/>
    <x v="57"/>
    <x v="13"/>
    <d v="2014-08-07T00:00:00"/>
    <d v="2015-04-06T00:00:00"/>
    <n v="3"/>
    <n v="194724"/>
    <n v="30"/>
    <n v="64908"/>
    <n v="0"/>
  </r>
  <r>
    <s v="TOMSP"/>
    <x v="76"/>
    <x v="58"/>
    <x v="0"/>
    <d v="2013-07-05T00:00:00"/>
    <d v="2015-03-23T00:00:00"/>
    <n v="6"/>
    <n v="477814"/>
    <n v="44"/>
    <n v="79636"/>
    <n v="0"/>
  </r>
  <r>
    <s v="TORTU"/>
    <x v="77"/>
    <x v="1"/>
    <x v="1"/>
    <d v="2013-08-08T00:00:00"/>
    <d v="2015-05-04T00:00:00"/>
    <n v="10"/>
    <n v="1081215"/>
    <n v="2"/>
    <n v="108122"/>
    <n v="0"/>
  </r>
  <r>
    <s v="TRADH"/>
    <x v="78"/>
    <x v="11"/>
    <x v="9"/>
    <d v="2013-08-28T00:00:00"/>
    <d v="2015-01-19T00:00:00"/>
    <n v="6"/>
    <n v="685066"/>
    <n v="107"/>
    <n v="114178"/>
    <n v="1"/>
  </r>
  <r>
    <s v="TRAIH"/>
    <x v="79"/>
    <x v="59"/>
    <x v="13"/>
    <d v="2014-06-19T00:00:00"/>
    <d v="2015-01-08T00:00:00"/>
    <n v="3"/>
    <n v="157120"/>
    <n v="118"/>
    <n v="52373"/>
    <n v="1"/>
  </r>
  <r>
    <s v="VAFFE"/>
    <x v="80"/>
    <x v="60"/>
    <x v="18"/>
    <d v="2013-11-28T00:00:00"/>
    <d v="2015-04-02T00:00:00"/>
    <n v="11"/>
    <n v="1584392"/>
    <n v="34"/>
    <n v="144036"/>
    <n v="0"/>
  </r>
  <r>
    <s v="VICTE"/>
    <x v="81"/>
    <x v="61"/>
    <x v="4"/>
    <d v="2013-07-08T00:00:00"/>
    <d v="2015-01-23T00:00:00"/>
    <n v="10"/>
    <n v="918243"/>
    <n v="103"/>
    <n v="91824"/>
    <n v="1"/>
  </r>
  <r>
    <s v="VINET"/>
    <x v="82"/>
    <x v="62"/>
    <x v="4"/>
    <d v="2013-07-04T00:00:00"/>
    <d v="2014-11-12T00:00:00"/>
    <n v="5"/>
    <n v="148000"/>
    <n v="175"/>
    <n v="29600"/>
    <n v="1"/>
  </r>
  <r>
    <s v="WANDK"/>
    <x v="83"/>
    <x v="63"/>
    <x v="0"/>
    <d v="2013-09-09T00:00:00"/>
    <d v="2015-04-23T00:00:00"/>
    <n v="10"/>
    <n v="958842"/>
    <n v="13"/>
    <n v="95884"/>
    <n v="0"/>
  </r>
  <r>
    <s v="WARTH"/>
    <x v="84"/>
    <x v="64"/>
    <x v="19"/>
    <d v="2013-07-26T00:00:00"/>
    <d v="2015-04-15T00:00:00"/>
    <n v="15"/>
    <n v="1564870"/>
    <n v="21"/>
    <n v="104325"/>
    <n v="0"/>
  </r>
  <r>
    <s v="WELLI"/>
    <x v="85"/>
    <x v="65"/>
    <x v="9"/>
    <d v="2013-07-15T00:00:00"/>
    <d v="2015-03-09T00:00:00"/>
    <n v="9"/>
    <n v="606820"/>
    <n v="58"/>
    <n v="67424"/>
    <n v="0"/>
  </r>
  <r>
    <s v="WHITC"/>
    <x v="86"/>
    <x v="66"/>
    <x v="13"/>
    <d v="2013-07-31T00:00:00"/>
    <d v="2015-05-01T00:00:00"/>
    <n v="14"/>
    <n v="2736360"/>
    <n v="5"/>
    <n v="195454"/>
    <n v="0"/>
  </r>
  <r>
    <s v="WILMK"/>
    <x v="87"/>
    <x v="67"/>
    <x v="19"/>
    <d v="2014-07-30T00:00:00"/>
    <d v="2015-04-07T00:00:00"/>
    <n v="7"/>
    <n v="316135"/>
    <n v="29"/>
    <n v="45162"/>
    <n v="0"/>
  </r>
  <r>
    <s v="WOLZA"/>
    <x v="88"/>
    <x v="68"/>
    <x v="20"/>
    <d v="2013-12-05T00:00:00"/>
    <d v="2015-04-23T00:00:00"/>
    <n v="7"/>
    <n v="353195"/>
    <n v="13"/>
    <n v="50456"/>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7A9B38-237F-4260-A299-8B3991C3043D}"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rowHeaderCaption="Company Name">
  <location ref="A16:C106" firstHeaderRow="0" firstDataRow="1" firstDataCol="1"/>
  <pivotFields count="11">
    <pivotField showAll="0"/>
    <pivotField axis="axisRow" showAll="0" sortType="descending">
      <items count="90">
        <item x="0"/>
        <item x="1"/>
        <item x="2"/>
        <item x="3"/>
        <item x="4"/>
        <item x="5"/>
        <item x="7"/>
        <item x="6"/>
        <item x="8"/>
        <item x="9"/>
        <item x="10"/>
        <item x="11"/>
        <item x="12"/>
        <item x="13"/>
        <item x="14"/>
        <item x="15"/>
        <item x="83"/>
        <item x="16"/>
        <item x="17"/>
        <item x="18"/>
        <item x="20"/>
        <item x="21"/>
        <item x="22"/>
        <item x="24"/>
        <item x="25"/>
        <item x="23"/>
        <item x="26"/>
        <item x="27"/>
        <item x="28"/>
        <item x="29"/>
        <item x="30"/>
        <item x="31"/>
        <item x="32"/>
        <item x="33"/>
        <item x="34"/>
        <item x="35"/>
        <item x="36"/>
        <item x="37"/>
        <item x="38"/>
        <item x="39"/>
        <item x="40"/>
        <item x="41"/>
        <item x="42"/>
        <item x="43"/>
        <item x="44"/>
        <item x="45"/>
        <item x="46"/>
        <item x="47"/>
        <item x="48"/>
        <item x="50"/>
        <item x="49"/>
        <item x="51"/>
        <item x="52"/>
        <item x="53"/>
        <item x="54"/>
        <item x="55"/>
        <item x="56"/>
        <item x="57"/>
        <item x="58"/>
        <item x="59"/>
        <item x="60"/>
        <item x="61"/>
        <item x="68"/>
        <item x="19"/>
        <item x="62"/>
        <item x="63"/>
        <item x="64"/>
        <item x="65"/>
        <item x="66"/>
        <item x="67"/>
        <item x="69"/>
        <item x="70"/>
        <item x="71"/>
        <item x="72"/>
        <item x="73"/>
        <item x="74"/>
        <item x="75"/>
        <item x="76"/>
        <item x="77"/>
        <item x="78"/>
        <item x="79"/>
        <item x="80"/>
        <item x="81"/>
        <item x="82"/>
        <item x="84"/>
        <item x="85"/>
        <item x="86"/>
        <item x="87"/>
        <item x="88"/>
        <item t="default"/>
      </items>
      <autoSortScope>
        <pivotArea dataOnly="0" outline="0" fieldPosition="0">
          <references count="1">
            <reference field="4294967294" count="1" selected="0">
              <x v="1"/>
            </reference>
          </references>
        </pivotArea>
      </autoSortScope>
    </pivotField>
    <pivotField showAll="0">
      <items count="70">
        <item x="12"/>
        <item x="48"/>
        <item x="44"/>
        <item x="20"/>
        <item x="37"/>
        <item x="40"/>
        <item x="0"/>
        <item x="10"/>
        <item x="52"/>
        <item x="30"/>
        <item x="16"/>
        <item x="41"/>
        <item x="9"/>
        <item x="57"/>
        <item x="22"/>
        <item x="24"/>
        <item x="56"/>
        <item x="28"/>
        <item x="29"/>
        <item x="47"/>
        <item x="27"/>
        <item x="23"/>
        <item x="35"/>
        <item x="50"/>
        <item x="14"/>
        <item x="67"/>
        <item x="38"/>
        <item x="59"/>
        <item x="45"/>
        <item x="53"/>
        <item x="55"/>
        <item x="43"/>
        <item x="15"/>
        <item x="19"/>
        <item x="2"/>
        <item x="3"/>
        <item x="61"/>
        <item x="6"/>
        <item x="4"/>
        <item x="7"/>
        <item x="1"/>
        <item x="17"/>
        <item x="58"/>
        <item x="42"/>
        <item x="13"/>
        <item x="64"/>
        <item x="54"/>
        <item x="39"/>
        <item x="49"/>
        <item x="62"/>
        <item x="65"/>
        <item x="60"/>
        <item x="25"/>
        <item x="46"/>
        <item x="26"/>
        <item x="36"/>
        <item x="11"/>
        <item x="66"/>
        <item x="21"/>
        <item x="51"/>
        <item x="5"/>
        <item x="63"/>
        <item x="18"/>
        <item x="32"/>
        <item x="8"/>
        <item x="33"/>
        <item x="31"/>
        <item x="34"/>
        <item x="68"/>
        <item t="default"/>
      </items>
    </pivotField>
    <pivotField showAll="0">
      <items count="22">
        <item x="7"/>
        <item x="10"/>
        <item x="16"/>
        <item x="9"/>
        <item x="6"/>
        <item x="18"/>
        <item x="19"/>
        <item x="4"/>
        <item x="0"/>
        <item x="15"/>
        <item x="11"/>
        <item x="1"/>
        <item x="17"/>
        <item x="20"/>
        <item x="12"/>
        <item x="5"/>
        <item x="3"/>
        <item x="8"/>
        <item x="2"/>
        <item x="13"/>
        <item x="14"/>
        <item t="default"/>
      </items>
    </pivotField>
    <pivotField numFmtId="14" showAll="0"/>
    <pivotField numFmtId="14" showAll="0"/>
    <pivotField dataField="1" showAll="0"/>
    <pivotField dataField="1" showAll="0"/>
    <pivotField showAll="0"/>
    <pivotField showAll="0"/>
    <pivotField showAll="0"/>
  </pivotFields>
  <rowFields count="1">
    <field x="1"/>
  </rowFields>
  <rowItems count="90">
    <i>
      <x v="60"/>
    </i>
    <i>
      <x v="63"/>
    </i>
    <i>
      <x v="62"/>
    </i>
    <i>
      <x v="64"/>
    </i>
    <i>
      <x v="35"/>
    </i>
    <i>
      <x v="32"/>
    </i>
    <i>
      <x v="37"/>
    </i>
    <i>
      <x v="22"/>
    </i>
    <i>
      <x v="50"/>
    </i>
    <i>
      <x v="86"/>
    </i>
    <i>
      <x v="25"/>
    </i>
    <i>
      <x v="59"/>
    </i>
    <i>
      <x v="4"/>
    </i>
    <i>
      <x v="74"/>
    </i>
    <i>
      <x v="56"/>
    </i>
    <i>
      <x v="33"/>
    </i>
    <i>
      <x v="8"/>
    </i>
    <i>
      <x v="9"/>
    </i>
    <i>
      <x v="67"/>
    </i>
    <i>
      <x v="42"/>
    </i>
    <i>
      <x v="7"/>
    </i>
    <i>
      <x v="30"/>
    </i>
    <i>
      <x v="71"/>
    </i>
    <i>
      <x v="45"/>
    </i>
    <i>
      <x v="70"/>
    </i>
    <i>
      <x v="44"/>
    </i>
    <i>
      <x v="81"/>
    </i>
    <i>
      <x v="84"/>
    </i>
    <i>
      <x v="53"/>
    </i>
    <i>
      <x v="19"/>
    </i>
    <i>
      <x v="3"/>
    </i>
    <i>
      <x v="54"/>
    </i>
    <i>
      <x v="66"/>
    </i>
    <i>
      <x v="13"/>
    </i>
    <i>
      <x v="21"/>
    </i>
    <i>
      <x v="28"/>
    </i>
    <i>
      <x v="73"/>
    </i>
    <i>
      <x v="78"/>
    </i>
    <i>
      <x v="48"/>
    </i>
    <i>
      <x v="16"/>
    </i>
    <i>
      <x v="39"/>
    </i>
    <i>
      <x v="82"/>
    </i>
    <i>
      <x v="29"/>
    </i>
    <i>
      <x v="47"/>
    </i>
    <i>
      <x v="65"/>
    </i>
    <i>
      <x v="2"/>
    </i>
    <i>
      <x v="79"/>
    </i>
    <i>
      <x v="58"/>
    </i>
    <i>
      <x v="26"/>
    </i>
    <i>
      <x v="36"/>
    </i>
    <i>
      <x v="10"/>
    </i>
    <i>
      <x v="85"/>
    </i>
    <i>
      <x v="69"/>
    </i>
    <i>
      <x v="57"/>
    </i>
    <i>
      <x v="49"/>
    </i>
    <i>
      <x v="77"/>
    </i>
    <i>
      <x/>
    </i>
    <i>
      <x v="46"/>
    </i>
    <i>
      <x v="55"/>
    </i>
    <i>
      <x v="6"/>
    </i>
    <i>
      <x v="20"/>
    </i>
    <i>
      <x v="14"/>
    </i>
    <i>
      <x v="17"/>
    </i>
    <i>
      <x v="88"/>
    </i>
    <i>
      <x v="52"/>
    </i>
    <i>
      <x v="75"/>
    </i>
    <i>
      <x v="5"/>
    </i>
    <i>
      <x v="23"/>
    </i>
    <i>
      <x v="87"/>
    </i>
    <i>
      <x v="43"/>
    </i>
    <i>
      <x v="34"/>
    </i>
    <i>
      <x v="61"/>
    </i>
    <i>
      <x v="72"/>
    </i>
    <i>
      <x v="38"/>
    </i>
    <i>
      <x v="76"/>
    </i>
    <i>
      <x v="11"/>
    </i>
    <i>
      <x v="15"/>
    </i>
    <i>
      <x v="18"/>
    </i>
    <i>
      <x v="80"/>
    </i>
    <i>
      <x v="24"/>
    </i>
    <i>
      <x v="31"/>
    </i>
    <i>
      <x v="83"/>
    </i>
    <i>
      <x v="68"/>
    </i>
    <i>
      <x v="1"/>
    </i>
    <i>
      <x v="27"/>
    </i>
    <i>
      <x v="51"/>
    </i>
    <i>
      <x v="40"/>
    </i>
    <i>
      <x v="41"/>
    </i>
    <i>
      <x v="12"/>
    </i>
    <i t="grand">
      <x/>
    </i>
  </rowItems>
  <colFields count="1">
    <field x="-2"/>
  </colFields>
  <colItems count="2">
    <i>
      <x/>
    </i>
    <i i="1">
      <x v="1"/>
    </i>
  </colItems>
  <dataFields count="2">
    <dataField name="Total Transaksi" fld="6" baseField="1" baseItem="61"/>
    <dataField name="Total Belanja" fld="7" baseField="1" baseItem="61" numFmtId="164"/>
  </dataFields>
  <formats count="3">
    <format dxfId="7">
      <pivotArea collapsedLevelsAreSubtotals="1" fieldPosition="0">
        <references count="2">
          <reference field="4294967294" count="1" selected="0">
            <x v="1"/>
          </reference>
          <reference field="1" count="1">
            <x v="32"/>
          </reference>
        </references>
      </pivotArea>
    </format>
    <format dxfId="6">
      <pivotArea outline="0" collapsedLevelsAreSubtotals="1" fieldPosition="0">
        <references count="1">
          <reference field="4294967294" count="1" selected="0">
            <x v="1"/>
          </reference>
        </references>
      </pivotArea>
    </format>
    <format dxfId="5">
      <pivotArea dataOnly="0"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A3825B-A7BC-4A09-951B-EF72FFF55BF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Country">
  <location ref="J16:L38" firstHeaderRow="0" firstDataRow="1" firstDataCol="1"/>
  <pivotFields count="11">
    <pivotField showAll="0"/>
    <pivotField showAll="0"/>
    <pivotField showAll="0">
      <items count="70">
        <item x="12"/>
        <item x="48"/>
        <item x="44"/>
        <item x="20"/>
        <item x="37"/>
        <item x="40"/>
        <item x="0"/>
        <item x="10"/>
        <item x="52"/>
        <item x="30"/>
        <item x="16"/>
        <item x="41"/>
        <item x="9"/>
        <item x="57"/>
        <item x="22"/>
        <item x="24"/>
        <item x="56"/>
        <item x="28"/>
        <item x="29"/>
        <item x="47"/>
        <item x="27"/>
        <item x="23"/>
        <item x="35"/>
        <item x="50"/>
        <item x="14"/>
        <item x="67"/>
        <item x="38"/>
        <item x="59"/>
        <item x="45"/>
        <item x="53"/>
        <item x="55"/>
        <item x="43"/>
        <item x="15"/>
        <item x="19"/>
        <item x="2"/>
        <item x="3"/>
        <item x="61"/>
        <item x="6"/>
        <item x="4"/>
        <item x="7"/>
        <item x="1"/>
        <item x="17"/>
        <item x="58"/>
        <item x="42"/>
        <item x="13"/>
        <item x="64"/>
        <item x="54"/>
        <item x="39"/>
        <item x="49"/>
        <item x="62"/>
        <item x="65"/>
        <item x="60"/>
        <item x="25"/>
        <item x="46"/>
        <item x="26"/>
        <item x="36"/>
        <item x="11"/>
        <item x="66"/>
        <item x="21"/>
        <item x="51"/>
        <item x="5"/>
        <item x="63"/>
        <item x="18"/>
        <item x="32"/>
        <item x="8"/>
        <item x="33"/>
        <item x="31"/>
        <item x="34"/>
        <item x="68"/>
        <item t="default"/>
      </items>
    </pivotField>
    <pivotField axis="axisRow" showAll="0" sortType="descending">
      <items count="22">
        <item x="7"/>
        <item x="10"/>
        <item x="16"/>
        <item x="9"/>
        <item x="6"/>
        <item x="18"/>
        <item x="19"/>
        <item x="4"/>
        <item x="0"/>
        <item x="15"/>
        <item x="11"/>
        <item x="1"/>
        <item x="17"/>
        <item x="20"/>
        <item x="12"/>
        <item x="5"/>
        <item x="3"/>
        <item x="8"/>
        <item x="2"/>
        <item x="13"/>
        <item x="14"/>
        <item t="default"/>
      </items>
      <autoSortScope>
        <pivotArea dataOnly="0" outline="0" fieldPosition="0">
          <references count="1">
            <reference field="4294967294" count="1" selected="0">
              <x v="0"/>
            </reference>
          </references>
        </pivotArea>
      </autoSortScope>
    </pivotField>
    <pivotField numFmtId="14" showAll="0"/>
    <pivotField numFmtId="14" showAll="0"/>
    <pivotField showAll="0"/>
    <pivotField showAll="0"/>
    <pivotField showAll="0"/>
    <pivotField showAll="0"/>
    <pivotField dataField="1" showAll="0"/>
  </pivotFields>
  <rowFields count="1">
    <field x="3"/>
  </rowFields>
  <rowItems count="22">
    <i>
      <x v="7"/>
    </i>
    <i>
      <x v="19"/>
    </i>
    <i>
      <x v="11"/>
    </i>
    <i>
      <x v="3"/>
    </i>
    <i>
      <x v="18"/>
    </i>
    <i>
      <x v="4"/>
    </i>
    <i>
      <x v="20"/>
    </i>
    <i>
      <x v="14"/>
    </i>
    <i>
      <x v="6"/>
    </i>
    <i>
      <x v="16"/>
    </i>
    <i>
      <x v="8"/>
    </i>
    <i>
      <x v="13"/>
    </i>
    <i>
      <x v="2"/>
    </i>
    <i>
      <x v="15"/>
    </i>
    <i>
      <x/>
    </i>
    <i>
      <x v="17"/>
    </i>
    <i>
      <x v="5"/>
    </i>
    <i>
      <x v="1"/>
    </i>
    <i>
      <x v="12"/>
    </i>
    <i>
      <x v="9"/>
    </i>
    <i>
      <x v="10"/>
    </i>
    <i t="grand">
      <x/>
    </i>
  </rowItems>
  <colFields count="1">
    <field x="-2"/>
  </colFields>
  <colItems count="2">
    <i>
      <x/>
    </i>
    <i i="1">
      <x v="1"/>
    </i>
  </colItems>
  <dataFields count="2">
    <dataField name="Jumlah Churn" fld="10" baseField="0" baseItem="0"/>
    <dataField name="Persentase Jumlah Churn" fld="10" showDataAs="percentOfTotal" baseField="0" baseItem="0" numFmtId="10"/>
  </dataFields>
  <chartFormats count="4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3" count="1" selected="0">
            <x v="7"/>
          </reference>
        </references>
      </pivotArea>
    </chartFormat>
    <chartFormat chart="0" format="3">
      <pivotArea type="data" outline="0" fieldPosition="0">
        <references count="2">
          <reference field="4294967294" count="1" selected="0">
            <x v="0"/>
          </reference>
          <reference field="3" count="1" selected="0">
            <x v="19"/>
          </reference>
        </references>
      </pivotArea>
    </chartFormat>
    <chartFormat chart="0" format="4">
      <pivotArea type="data" outline="0" fieldPosition="0">
        <references count="2">
          <reference field="4294967294" count="1" selected="0">
            <x v="0"/>
          </reference>
          <reference field="3" count="1" selected="0">
            <x v="11"/>
          </reference>
        </references>
      </pivotArea>
    </chartFormat>
    <chartFormat chart="0" format="5">
      <pivotArea type="data" outline="0" fieldPosition="0">
        <references count="2">
          <reference field="4294967294" count="1" selected="0">
            <x v="0"/>
          </reference>
          <reference field="3" count="1" selected="0">
            <x v="3"/>
          </reference>
        </references>
      </pivotArea>
    </chartFormat>
    <chartFormat chart="0" format="6">
      <pivotArea type="data" outline="0" fieldPosition="0">
        <references count="2">
          <reference field="4294967294" count="1" selected="0">
            <x v="0"/>
          </reference>
          <reference field="3" count="1" selected="0">
            <x v="18"/>
          </reference>
        </references>
      </pivotArea>
    </chartFormat>
    <chartFormat chart="0" format="7">
      <pivotArea type="data" outline="0" fieldPosition="0">
        <references count="2">
          <reference field="4294967294" count="1" selected="0">
            <x v="0"/>
          </reference>
          <reference field="3" count="1" selected="0">
            <x v="4"/>
          </reference>
        </references>
      </pivotArea>
    </chartFormat>
    <chartFormat chart="0" format="8">
      <pivotArea type="data" outline="0" fieldPosition="0">
        <references count="2">
          <reference field="4294967294" count="1" selected="0">
            <x v="0"/>
          </reference>
          <reference field="3" count="1" selected="0">
            <x v="20"/>
          </reference>
        </references>
      </pivotArea>
    </chartFormat>
    <chartFormat chart="0" format="9">
      <pivotArea type="data" outline="0" fieldPosition="0">
        <references count="2">
          <reference field="4294967294" count="1" selected="0">
            <x v="0"/>
          </reference>
          <reference field="3" count="1" selected="0">
            <x v="14"/>
          </reference>
        </references>
      </pivotArea>
    </chartFormat>
    <chartFormat chart="0" format="10">
      <pivotArea type="data" outline="0" fieldPosition="0">
        <references count="2">
          <reference field="4294967294" count="1" selected="0">
            <x v="0"/>
          </reference>
          <reference field="3" count="1" selected="0">
            <x v="6"/>
          </reference>
        </references>
      </pivotArea>
    </chartFormat>
    <chartFormat chart="0" format="11">
      <pivotArea type="data" outline="0" fieldPosition="0">
        <references count="2">
          <reference field="4294967294" count="1" selected="0">
            <x v="0"/>
          </reference>
          <reference field="3" count="1" selected="0">
            <x v="16"/>
          </reference>
        </references>
      </pivotArea>
    </chartFormat>
    <chartFormat chart="0" format="12">
      <pivotArea type="data" outline="0" fieldPosition="0">
        <references count="2">
          <reference field="4294967294" count="1" selected="0">
            <x v="0"/>
          </reference>
          <reference field="3" count="1" selected="0">
            <x v="8"/>
          </reference>
        </references>
      </pivotArea>
    </chartFormat>
    <chartFormat chart="0" format="13">
      <pivotArea type="data" outline="0" fieldPosition="0">
        <references count="2">
          <reference field="4294967294" count="1" selected="0">
            <x v="0"/>
          </reference>
          <reference field="3" count="1" selected="0">
            <x v="13"/>
          </reference>
        </references>
      </pivotArea>
    </chartFormat>
    <chartFormat chart="0" format="14">
      <pivotArea type="data" outline="0" fieldPosition="0">
        <references count="2">
          <reference field="4294967294" count="1" selected="0">
            <x v="0"/>
          </reference>
          <reference field="3" count="1" selected="0">
            <x v="2"/>
          </reference>
        </references>
      </pivotArea>
    </chartFormat>
    <chartFormat chart="0" format="15">
      <pivotArea type="data" outline="0" fieldPosition="0">
        <references count="2">
          <reference field="4294967294" count="1" selected="0">
            <x v="0"/>
          </reference>
          <reference field="3" count="1" selected="0">
            <x v="15"/>
          </reference>
        </references>
      </pivotArea>
    </chartFormat>
    <chartFormat chart="0" format="16">
      <pivotArea type="data" outline="0" fieldPosition="0">
        <references count="2">
          <reference field="4294967294" count="1" selected="0">
            <x v="0"/>
          </reference>
          <reference field="3" count="1" selected="0">
            <x v="0"/>
          </reference>
        </references>
      </pivotArea>
    </chartFormat>
    <chartFormat chart="0" format="17">
      <pivotArea type="data" outline="0" fieldPosition="0">
        <references count="2">
          <reference field="4294967294" count="1" selected="0">
            <x v="0"/>
          </reference>
          <reference field="3" count="1" selected="0">
            <x v="17"/>
          </reference>
        </references>
      </pivotArea>
    </chartFormat>
    <chartFormat chart="0" format="18">
      <pivotArea type="data" outline="0" fieldPosition="0">
        <references count="2">
          <reference field="4294967294" count="1" selected="0">
            <x v="0"/>
          </reference>
          <reference field="3" count="1" selected="0">
            <x v="5"/>
          </reference>
        </references>
      </pivotArea>
    </chartFormat>
    <chartFormat chart="0" format="19">
      <pivotArea type="data" outline="0" fieldPosition="0">
        <references count="2">
          <reference field="4294967294" count="1" selected="0">
            <x v="0"/>
          </reference>
          <reference field="3" count="1" selected="0">
            <x v="1"/>
          </reference>
        </references>
      </pivotArea>
    </chartFormat>
    <chartFormat chart="0" format="20">
      <pivotArea type="data" outline="0" fieldPosition="0">
        <references count="2">
          <reference field="4294967294" count="1" selected="0">
            <x v="0"/>
          </reference>
          <reference field="3" count="1" selected="0">
            <x v="12"/>
          </reference>
        </references>
      </pivotArea>
    </chartFormat>
    <chartFormat chart="0" format="21">
      <pivotArea type="data" outline="0" fieldPosition="0">
        <references count="2">
          <reference field="4294967294" count="1" selected="0">
            <x v="0"/>
          </reference>
          <reference field="3" count="1" selected="0">
            <x v="9"/>
          </reference>
        </references>
      </pivotArea>
    </chartFormat>
    <chartFormat chart="0" format="22">
      <pivotArea type="data" outline="0" fieldPosition="0">
        <references count="2">
          <reference field="4294967294" count="1" selected="0">
            <x v="0"/>
          </reference>
          <reference field="3" count="1" selected="0">
            <x v="10"/>
          </reference>
        </references>
      </pivotArea>
    </chartFormat>
    <chartFormat chart="0" format="23">
      <pivotArea type="data" outline="0" fieldPosition="0">
        <references count="2">
          <reference field="4294967294" count="1" selected="0">
            <x v="1"/>
          </reference>
          <reference field="3" count="1" selected="0">
            <x v="7"/>
          </reference>
        </references>
      </pivotArea>
    </chartFormat>
    <chartFormat chart="0" format="24">
      <pivotArea type="data" outline="0" fieldPosition="0">
        <references count="2">
          <reference field="4294967294" count="1" selected="0">
            <x v="1"/>
          </reference>
          <reference field="3" count="1" selected="0">
            <x v="19"/>
          </reference>
        </references>
      </pivotArea>
    </chartFormat>
    <chartFormat chart="0" format="25">
      <pivotArea type="data" outline="0" fieldPosition="0">
        <references count="2">
          <reference field="4294967294" count="1" selected="0">
            <x v="1"/>
          </reference>
          <reference field="3" count="1" selected="0">
            <x v="11"/>
          </reference>
        </references>
      </pivotArea>
    </chartFormat>
    <chartFormat chart="0" format="26">
      <pivotArea type="data" outline="0" fieldPosition="0">
        <references count="2">
          <reference field="4294967294" count="1" selected="0">
            <x v="1"/>
          </reference>
          <reference field="3" count="1" selected="0">
            <x v="3"/>
          </reference>
        </references>
      </pivotArea>
    </chartFormat>
    <chartFormat chart="0" format="27">
      <pivotArea type="data" outline="0" fieldPosition="0">
        <references count="2">
          <reference field="4294967294" count="1" selected="0">
            <x v="1"/>
          </reference>
          <reference field="3" count="1" selected="0">
            <x v="18"/>
          </reference>
        </references>
      </pivotArea>
    </chartFormat>
    <chartFormat chart="0" format="28">
      <pivotArea type="data" outline="0" fieldPosition="0">
        <references count="2">
          <reference field="4294967294" count="1" selected="0">
            <x v="1"/>
          </reference>
          <reference field="3" count="1" selected="0">
            <x v="4"/>
          </reference>
        </references>
      </pivotArea>
    </chartFormat>
    <chartFormat chart="0" format="29">
      <pivotArea type="data" outline="0" fieldPosition="0">
        <references count="2">
          <reference field="4294967294" count="1" selected="0">
            <x v="1"/>
          </reference>
          <reference field="3" count="1" selected="0">
            <x v="20"/>
          </reference>
        </references>
      </pivotArea>
    </chartFormat>
    <chartFormat chart="0" format="30">
      <pivotArea type="data" outline="0" fieldPosition="0">
        <references count="2">
          <reference field="4294967294" count="1" selected="0">
            <x v="1"/>
          </reference>
          <reference field="3" count="1" selected="0">
            <x v="14"/>
          </reference>
        </references>
      </pivotArea>
    </chartFormat>
    <chartFormat chart="0" format="31">
      <pivotArea type="data" outline="0" fieldPosition="0">
        <references count="2">
          <reference field="4294967294" count="1" selected="0">
            <x v="1"/>
          </reference>
          <reference field="3" count="1" selected="0">
            <x v="6"/>
          </reference>
        </references>
      </pivotArea>
    </chartFormat>
    <chartFormat chart="0" format="32">
      <pivotArea type="data" outline="0" fieldPosition="0">
        <references count="2">
          <reference field="4294967294" count="1" selected="0">
            <x v="1"/>
          </reference>
          <reference field="3" count="1" selected="0">
            <x v="16"/>
          </reference>
        </references>
      </pivotArea>
    </chartFormat>
    <chartFormat chart="0" format="33">
      <pivotArea type="data" outline="0" fieldPosition="0">
        <references count="2">
          <reference field="4294967294" count="1" selected="0">
            <x v="1"/>
          </reference>
          <reference field="3" count="1" selected="0">
            <x v="8"/>
          </reference>
        </references>
      </pivotArea>
    </chartFormat>
    <chartFormat chart="0" format="34">
      <pivotArea type="data" outline="0" fieldPosition="0">
        <references count="2">
          <reference field="4294967294" count="1" selected="0">
            <x v="1"/>
          </reference>
          <reference field="3" count="1" selected="0">
            <x v="13"/>
          </reference>
        </references>
      </pivotArea>
    </chartFormat>
    <chartFormat chart="0" format="35">
      <pivotArea type="data" outline="0" fieldPosition="0">
        <references count="2">
          <reference field="4294967294" count="1" selected="0">
            <x v="1"/>
          </reference>
          <reference field="3" count="1" selected="0">
            <x v="2"/>
          </reference>
        </references>
      </pivotArea>
    </chartFormat>
    <chartFormat chart="0" format="36">
      <pivotArea type="data" outline="0" fieldPosition="0">
        <references count="2">
          <reference field="4294967294" count="1" selected="0">
            <x v="1"/>
          </reference>
          <reference field="3" count="1" selected="0">
            <x v="15"/>
          </reference>
        </references>
      </pivotArea>
    </chartFormat>
    <chartFormat chart="0" format="37">
      <pivotArea type="data" outline="0" fieldPosition="0">
        <references count="2">
          <reference field="4294967294" count="1" selected="0">
            <x v="1"/>
          </reference>
          <reference field="3" count="1" selected="0">
            <x v="0"/>
          </reference>
        </references>
      </pivotArea>
    </chartFormat>
    <chartFormat chart="0" format="38">
      <pivotArea type="data" outline="0" fieldPosition="0">
        <references count="2">
          <reference field="4294967294" count="1" selected="0">
            <x v="1"/>
          </reference>
          <reference field="3" count="1" selected="0">
            <x v="17"/>
          </reference>
        </references>
      </pivotArea>
    </chartFormat>
    <chartFormat chart="0" format="39">
      <pivotArea type="data" outline="0" fieldPosition="0">
        <references count="2">
          <reference field="4294967294" count="1" selected="0">
            <x v="1"/>
          </reference>
          <reference field="3" count="1" selected="0">
            <x v="5"/>
          </reference>
        </references>
      </pivotArea>
    </chartFormat>
    <chartFormat chart="0" format="40">
      <pivotArea type="data" outline="0" fieldPosition="0">
        <references count="2">
          <reference field="4294967294" count="1" selected="0">
            <x v="1"/>
          </reference>
          <reference field="3" count="1" selected="0">
            <x v="1"/>
          </reference>
        </references>
      </pivotArea>
    </chartFormat>
    <chartFormat chart="0" format="41">
      <pivotArea type="data" outline="0" fieldPosition="0">
        <references count="2">
          <reference field="4294967294" count="1" selected="0">
            <x v="1"/>
          </reference>
          <reference field="3" count="1" selected="0">
            <x v="12"/>
          </reference>
        </references>
      </pivotArea>
    </chartFormat>
    <chartFormat chart="0" format="42">
      <pivotArea type="data" outline="0" fieldPosition="0">
        <references count="2">
          <reference field="4294967294" count="1" selected="0">
            <x v="1"/>
          </reference>
          <reference field="3" count="1" selected="0">
            <x v="9"/>
          </reference>
        </references>
      </pivotArea>
    </chartFormat>
    <chartFormat chart="0" format="43">
      <pivotArea type="data" outline="0" fieldPosition="0">
        <references count="2">
          <reference field="4294967294" count="1" selected="0">
            <x v="1"/>
          </reference>
          <reference field="3"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C4D6172-23C5-47F8-BF5B-060CA213704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Company Name">
  <location ref="E16:H106" firstHeaderRow="0" firstDataRow="1" firstDataCol="1"/>
  <pivotFields count="11">
    <pivotField showAll="0"/>
    <pivotField axis="axisRow" showAll="0" sortType="descending">
      <items count="90">
        <item x="0"/>
        <item x="1"/>
        <item x="2"/>
        <item x="3"/>
        <item x="4"/>
        <item x="5"/>
        <item x="7"/>
        <item x="6"/>
        <item x="8"/>
        <item x="9"/>
        <item x="10"/>
        <item x="11"/>
        <item x="12"/>
        <item x="13"/>
        <item x="14"/>
        <item x="15"/>
        <item x="83"/>
        <item x="16"/>
        <item x="17"/>
        <item x="18"/>
        <item x="19"/>
        <item x="20"/>
        <item x="21"/>
        <item x="22"/>
        <item x="24"/>
        <item x="25"/>
        <item x="23"/>
        <item x="26"/>
        <item x="27"/>
        <item x="28"/>
        <item x="29"/>
        <item x="30"/>
        <item x="31"/>
        <item x="32"/>
        <item x="33"/>
        <item x="34"/>
        <item x="35"/>
        <item x="36"/>
        <item x="37"/>
        <item x="38"/>
        <item x="39"/>
        <item x="40"/>
        <item x="41"/>
        <item x="42"/>
        <item x="43"/>
        <item x="44"/>
        <item x="45"/>
        <item x="46"/>
        <item x="47"/>
        <item x="48"/>
        <item x="50"/>
        <item x="49"/>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4"/>
        <item x="85"/>
        <item x="86"/>
        <item x="87"/>
        <item x="88"/>
        <item t="default"/>
      </items>
      <autoSortScope>
        <pivotArea dataOnly="0" outline="0" fieldPosition="0">
          <references count="1">
            <reference field="4294967294" count="1" selected="0">
              <x v="1"/>
            </reference>
          </references>
        </pivotArea>
      </autoSortScope>
    </pivotField>
    <pivotField showAll="0">
      <items count="70">
        <item x="12"/>
        <item x="48"/>
        <item x="44"/>
        <item x="20"/>
        <item x="37"/>
        <item x="40"/>
        <item x="0"/>
        <item x="10"/>
        <item x="52"/>
        <item x="30"/>
        <item x="16"/>
        <item x="41"/>
        <item x="9"/>
        <item x="57"/>
        <item x="22"/>
        <item x="24"/>
        <item x="56"/>
        <item x="28"/>
        <item x="29"/>
        <item x="47"/>
        <item x="27"/>
        <item x="23"/>
        <item x="35"/>
        <item x="50"/>
        <item x="14"/>
        <item x="67"/>
        <item x="38"/>
        <item x="59"/>
        <item x="45"/>
        <item x="53"/>
        <item x="55"/>
        <item x="43"/>
        <item x="15"/>
        <item x="19"/>
        <item x="2"/>
        <item x="3"/>
        <item x="61"/>
        <item x="6"/>
        <item x="4"/>
        <item x="7"/>
        <item x="1"/>
        <item x="17"/>
        <item x="58"/>
        <item x="42"/>
        <item x="13"/>
        <item x="64"/>
        <item x="54"/>
        <item x="39"/>
        <item x="49"/>
        <item x="62"/>
        <item x="65"/>
        <item x="60"/>
        <item x="25"/>
        <item x="46"/>
        <item x="26"/>
        <item x="36"/>
        <item x="11"/>
        <item x="66"/>
        <item x="21"/>
        <item x="51"/>
        <item x="5"/>
        <item x="63"/>
        <item x="18"/>
        <item x="32"/>
        <item x="8"/>
        <item x="33"/>
        <item x="31"/>
        <item x="34"/>
        <item x="68"/>
        <item t="default"/>
      </items>
    </pivotField>
    <pivotField showAll="0" sortType="descending">
      <items count="22">
        <item x="7"/>
        <item x="10"/>
        <item x="16"/>
        <item x="9"/>
        <item x="6"/>
        <item x="18"/>
        <item x="19"/>
        <item x="4"/>
        <item x="0"/>
        <item x="15"/>
        <item x="11"/>
        <item x="1"/>
        <item x="17"/>
        <item x="20"/>
        <item x="12"/>
        <item x="5"/>
        <item x="3"/>
        <item x="8"/>
        <item x="2"/>
        <item x="13"/>
        <item x="14"/>
        <item t="default"/>
      </items>
      <autoSortScope>
        <pivotArea dataOnly="0" outline="0" fieldPosition="0">
          <references count="1">
            <reference field="4294967294" count="1" selected="0">
              <x v="0"/>
            </reference>
          </references>
        </pivotArea>
      </autoSortScope>
    </pivotField>
    <pivotField numFmtId="14" showAll="0"/>
    <pivotField numFmtId="14" showAll="0"/>
    <pivotField showAll="0"/>
    <pivotField showAll="0"/>
    <pivotField dataField="1" showAll="0"/>
    <pivotField dataField="1" showAll="0"/>
    <pivotField dataField="1" showAll="0"/>
  </pivotFields>
  <rowFields count="1">
    <field x="1"/>
  </rowFields>
  <rowItems count="90">
    <i>
      <x v="12"/>
    </i>
    <i>
      <x v="42"/>
    </i>
    <i>
      <x v="35"/>
    </i>
    <i>
      <x v="51"/>
    </i>
    <i>
      <x v="21"/>
    </i>
    <i>
      <x v="83"/>
    </i>
    <i>
      <x v="32"/>
    </i>
    <i>
      <x v="22"/>
    </i>
    <i>
      <x v="41"/>
    </i>
    <i>
      <x v="80"/>
    </i>
    <i>
      <x v="7"/>
    </i>
    <i>
      <x v="79"/>
    </i>
    <i>
      <x v="82"/>
    </i>
    <i>
      <x v="15"/>
    </i>
    <i>
      <x v="2"/>
    </i>
    <i>
      <x v="70"/>
    </i>
    <i>
      <x v="44"/>
    </i>
    <i>
      <x v="18"/>
    </i>
    <i>
      <x v="1"/>
    </i>
    <i>
      <x v="4"/>
    </i>
    <i>
      <x v="28"/>
    </i>
    <i>
      <x v="37"/>
    </i>
    <i>
      <x v="85"/>
    </i>
    <i>
      <x v="50"/>
    </i>
    <i>
      <x v="48"/>
    </i>
    <i>
      <x v="27"/>
    </i>
    <i>
      <x v="77"/>
    </i>
    <i>
      <x v="24"/>
    </i>
    <i>
      <x v="6"/>
    </i>
    <i>
      <x v="39"/>
    </i>
    <i>
      <x v="73"/>
    </i>
    <i>
      <x v="53"/>
    </i>
    <i>
      <x v="59"/>
    </i>
    <i>
      <x v="75"/>
    </i>
    <i>
      <x v="81"/>
    </i>
    <i>
      <x v="76"/>
    </i>
    <i>
      <x v="49"/>
    </i>
    <i>
      <x v="87"/>
    </i>
    <i>
      <x v="58"/>
    </i>
    <i>
      <x v="67"/>
    </i>
    <i>
      <x/>
    </i>
    <i>
      <x v="26"/>
    </i>
    <i>
      <x v="3"/>
    </i>
    <i>
      <x v="68"/>
    </i>
    <i>
      <x v="62"/>
    </i>
    <i>
      <x v="47"/>
    </i>
    <i>
      <x v="61"/>
    </i>
    <i>
      <x v="10"/>
    </i>
    <i>
      <x v="55"/>
    </i>
    <i>
      <x v="84"/>
    </i>
    <i>
      <x v="38"/>
    </i>
    <i>
      <x v="54"/>
    </i>
    <i>
      <x v="46"/>
    </i>
    <i>
      <x v="29"/>
    </i>
    <i>
      <x v="74"/>
    </i>
    <i>
      <x v="13"/>
    </i>
    <i>
      <x v="14"/>
    </i>
    <i>
      <x v="72"/>
    </i>
    <i>
      <x v="16"/>
    </i>
    <i>
      <x v="88"/>
    </i>
    <i>
      <x v="9"/>
    </i>
    <i>
      <x v="30"/>
    </i>
    <i>
      <x v="57"/>
    </i>
    <i>
      <x v="33"/>
    </i>
    <i>
      <x v="40"/>
    </i>
    <i>
      <x v="23"/>
    </i>
    <i>
      <x v="19"/>
    </i>
    <i>
      <x v="11"/>
    </i>
    <i>
      <x v="34"/>
    </i>
    <i>
      <x v="5"/>
    </i>
    <i>
      <x v="65"/>
    </i>
    <i>
      <x v="52"/>
    </i>
    <i>
      <x v="31"/>
    </i>
    <i>
      <x v="36"/>
    </i>
    <i>
      <x v="25"/>
    </i>
    <i>
      <x v="64"/>
    </i>
    <i>
      <x v="86"/>
    </i>
    <i>
      <x v="69"/>
    </i>
    <i>
      <x v="60"/>
    </i>
    <i>
      <x v="17"/>
    </i>
    <i>
      <x v="78"/>
    </i>
    <i>
      <x v="20"/>
    </i>
    <i>
      <x v="56"/>
    </i>
    <i>
      <x v="43"/>
    </i>
    <i>
      <x v="45"/>
    </i>
    <i>
      <x v="63"/>
    </i>
    <i>
      <x v="8"/>
    </i>
    <i>
      <x v="71"/>
    </i>
    <i>
      <x v="66"/>
    </i>
    <i t="grand">
      <x/>
    </i>
  </rowItems>
  <colFields count="1">
    <field x="-2"/>
  </colFields>
  <colItems count="3">
    <i>
      <x/>
    </i>
    <i i="1">
      <x v="1"/>
    </i>
    <i i="2">
      <x v="2"/>
    </i>
  </colItems>
  <dataFields count="3">
    <dataField name="Churn Status" fld="10" baseField="0" baseItem="0"/>
    <dataField name="Recency Days" fld="8" baseField="0" baseItem="0"/>
    <dataField name="Rata Rata Belanja" fld="9" baseField="0" baseItem="0"/>
  </dataFields>
  <formats count="1">
    <format dxfId="3">
      <pivotArea dataOnly="0" outline="0" fieldPosition="0">
        <references count="1">
          <reference field="4294967294" count="1">
            <x v="2"/>
          </reference>
        </references>
      </pivotArea>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498705F-F228-4662-ACF0-45F2A93EB5E2}" autoFormatId="16" applyNumberFormats="0" applyBorderFormats="0" applyFontFormats="0" applyPatternFormats="0" applyAlignmentFormats="0" applyWidthHeightFormats="0">
  <queryTableRefresh nextId="12">
    <queryTableFields count="11">
      <queryTableField id="1" name="customer_id" tableColumnId="1"/>
      <queryTableField id="2" name="company_name" tableColumnId="2"/>
      <queryTableField id="3" name="city" tableColumnId="3"/>
      <queryTableField id="4" name="country" tableColumnId="4"/>
      <queryTableField id="5" name="first_order_date" tableColumnId="5"/>
      <queryTableField id="6" name="last_order_date" tableColumnId="6"/>
      <queryTableField id="7" name="total_transaksi" tableColumnId="7"/>
      <queryTableField id="8" name="total_belanja" tableColumnId="8"/>
      <queryTableField id="9" name="recency_days" tableColumnId="9"/>
      <queryTableField id="10" name="avg_order_value" tableColumnId="10"/>
      <queryTableField id="11" name="is_churn"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177AFC41-7E32-4877-95DB-799F43A6ECF8}" sourceName="city">
  <pivotTables>
    <pivotTable tabId="1" name="PivotTable2"/>
    <pivotTable tabId="1" name="PivotTable4"/>
    <pivotTable tabId="1" name="PivotTable5"/>
  </pivotTables>
  <data>
    <tabular pivotCacheId="1131173703">
      <items count="69">
        <i x="12" s="1"/>
        <i x="48" s="1"/>
        <i x="44" s="1"/>
        <i x="20" s="1"/>
        <i x="37" s="1"/>
        <i x="40" s="1"/>
        <i x="0" s="1"/>
        <i x="10" s="1"/>
        <i x="52" s="1"/>
        <i x="30" s="1"/>
        <i x="16" s="1"/>
        <i x="41" s="1"/>
        <i x="9" s="1"/>
        <i x="57" s="1"/>
        <i x="22" s="1"/>
        <i x="24" s="1"/>
        <i x="56" s="1"/>
        <i x="28" s="1"/>
        <i x="29" s="1"/>
        <i x="47" s="1"/>
        <i x="27" s="1"/>
        <i x="23" s="1"/>
        <i x="35" s="1"/>
        <i x="50" s="1"/>
        <i x="14" s="1"/>
        <i x="67" s="1"/>
        <i x="38" s="1"/>
        <i x="59" s="1"/>
        <i x="45" s="1"/>
        <i x="53" s="1"/>
        <i x="55" s="1"/>
        <i x="43" s="1"/>
        <i x="15" s="1"/>
        <i x="19" s="1"/>
        <i x="2" s="1"/>
        <i x="3" s="1"/>
        <i x="61" s="1"/>
        <i x="6" s="1"/>
        <i x="4" s="1"/>
        <i x="7" s="1"/>
        <i x="1" s="1"/>
        <i x="17" s="1"/>
        <i x="58" s="1"/>
        <i x="42" s="1"/>
        <i x="13" s="1"/>
        <i x="64" s="1"/>
        <i x="54" s="1"/>
        <i x="39" s="1"/>
        <i x="49" s="1"/>
        <i x="62" s="1"/>
        <i x="65" s="1"/>
        <i x="60" s="1"/>
        <i x="25" s="1"/>
        <i x="46" s="1"/>
        <i x="26" s="1"/>
        <i x="36" s="1"/>
        <i x="11" s="1"/>
        <i x="66" s="1"/>
        <i x="21" s="1"/>
        <i x="51" s="1"/>
        <i x="5" s="1"/>
        <i x="63" s="1"/>
        <i x="18" s="1"/>
        <i x="32" s="1"/>
        <i x="8" s="1"/>
        <i x="33" s="1"/>
        <i x="31" s="1"/>
        <i x="34" s="1"/>
        <i x="6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461B5247-BD9B-45D4-BFAB-F2169E331B19}" sourceName="country">
  <pivotTables>
    <pivotTable tabId="1" name="PivotTable2"/>
    <pivotTable tabId="1" name="PivotTable4"/>
    <pivotTable tabId="1" name="PivotTable5"/>
  </pivotTables>
  <data>
    <tabular pivotCacheId="1131173703">
      <items count="21">
        <i x="7" s="1"/>
        <i x="10" s="1"/>
        <i x="16" s="1"/>
        <i x="9" s="1"/>
        <i x="6" s="1"/>
        <i x="18" s="1"/>
        <i x="19" s="1"/>
        <i x="4" s="1"/>
        <i x="0" s="1"/>
        <i x="15" s="1"/>
        <i x="11" s="1"/>
        <i x="1" s="1"/>
        <i x="17" s="1"/>
        <i x="20" s="1"/>
        <i x="12" s="1"/>
        <i x="5" s="1"/>
        <i x="3" s="1"/>
        <i x="8" s="1"/>
        <i x="2" s="1"/>
        <i x="13" s="1"/>
        <i x="1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F467491F-64EE-484F-917B-47EDA5FE0A3D}" cache="Slicer_city" caption="city" rowHeight="247650"/>
  <slicer name="country" xr10:uid="{A11F3686-F073-402C-BB2B-9821F21C89DE}" cache="Slicer_country" caption="country" startItem="17"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F94FBFC-358A-427F-8DD2-7D989833A0BE}" name="customer_master_pipeline_202610120635" displayName="customer_master_pipeline_202610120635" ref="A1:K90" tableType="queryTable" totalsRowShown="0">
  <autoFilter ref="A1:K90" xr:uid="{EF94FBFC-358A-427F-8DD2-7D989833A0BE}"/>
  <tableColumns count="11">
    <tableColumn id="1" xr3:uid="{06A38D93-B4CB-449A-B8D5-B6F87645B27F}" uniqueName="1" name="customer_id" queryTableFieldId="1" dataDxfId="13"/>
    <tableColumn id="2" xr3:uid="{00C57C9A-569E-498D-86E8-D91309B37D87}" uniqueName="2" name="company_name" queryTableFieldId="2" dataDxfId="12"/>
    <tableColumn id="3" xr3:uid="{20906EB8-72E9-47F6-ADA0-BDD264A4860D}" uniqueName="3" name="city" queryTableFieldId="3" dataDxfId="11"/>
    <tableColumn id="4" xr3:uid="{6BC4ADBF-DEC8-4B2B-B12F-88FA9FDC4054}" uniqueName="4" name="country" queryTableFieldId="4" dataDxfId="10"/>
    <tableColumn id="5" xr3:uid="{5C4F2C74-4895-481C-BBED-8472B9904BF5}" uniqueName="5" name="first_order_date" queryTableFieldId="5" dataDxfId="9"/>
    <tableColumn id="6" xr3:uid="{914180BC-F5F8-4FFA-AFF9-B6B11B181B88}" uniqueName="6" name="last_order_date" queryTableFieldId="6" dataDxfId="8"/>
    <tableColumn id="7" xr3:uid="{BD3C3757-0C48-4019-A6F8-071B49B0E90C}" uniqueName="7" name="total_transaksi" queryTableFieldId="7"/>
    <tableColumn id="8" xr3:uid="{B6B70321-D161-46AF-A16C-5A62519FC51A}" uniqueName="8" name="total_belanja" queryTableFieldId="8" dataDxfId="1"/>
    <tableColumn id="9" xr3:uid="{D10DC10B-1F1B-4AA5-8142-991AA72F1546}" uniqueName="9" name="recency_days" queryTableFieldId="9"/>
    <tableColumn id="10" xr3:uid="{B380DDE2-3541-4B76-95FA-DA915B65C970}" uniqueName="10" name="avg_order_value" queryTableFieldId="10" dataDxfId="0"/>
    <tableColumn id="11" xr3:uid="{A1374E19-62F8-44F8-B36D-6D9056C6BD13}" uniqueName="11" name="is_churn" queryTableFieldId="1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E2E2E-984F-4E0D-BFBC-7251F8A4F4ED}">
  <dimension ref="A1:K90"/>
  <sheetViews>
    <sheetView tabSelected="1" workbookViewId="0">
      <selection activeCell="J2" sqref="J2:J90"/>
    </sheetView>
  </sheetViews>
  <sheetFormatPr defaultRowHeight="14.4" x14ac:dyDescent="0.3"/>
  <cols>
    <col min="1" max="1" width="13.5546875" bestFit="1" customWidth="1"/>
    <col min="2" max="2" width="30.109375" bestFit="1" customWidth="1"/>
    <col min="3" max="3" width="12.5546875" bestFit="1" customWidth="1"/>
    <col min="4" max="4" width="10.21875" bestFit="1" customWidth="1"/>
    <col min="5" max="5" width="16.44140625" bestFit="1" customWidth="1"/>
    <col min="6" max="6" width="16.21875" bestFit="1" customWidth="1"/>
    <col min="7" max="7" width="15.6640625" bestFit="1" customWidth="1"/>
    <col min="8" max="8" width="14.88671875" bestFit="1" customWidth="1"/>
    <col min="9" max="9" width="14.44140625" bestFit="1" customWidth="1"/>
    <col min="10" max="10" width="16.5546875" bestFit="1" customWidth="1"/>
    <col min="11" max="11" width="10.109375" bestFit="1" customWidth="1"/>
  </cols>
  <sheetData>
    <row r="1" spans="1:11" x14ac:dyDescent="0.3">
      <c r="A1" t="s">
        <v>0</v>
      </c>
      <c r="B1" t="s">
        <v>1</v>
      </c>
      <c r="C1" t="s">
        <v>2</v>
      </c>
      <c r="D1" t="s">
        <v>3</v>
      </c>
      <c r="E1" t="s">
        <v>4</v>
      </c>
      <c r="F1" t="s">
        <v>5</v>
      </c>
      <c r="G1" t="s">
        <v>6</v>
      </c>
      <c r="H1" t="s">
        <v>7</v>
      </c>
      <c r="I1" t="s">
        <v>8</v>
      </c>
      <c r="J1" t="s">
        <v>9</v>
      </c>
      <c r="K1" t="s">
        <v>10</v>
      </c>
    </row>
    <row r="2" spans="1:11" x14ac:dyDescent="0.3">
      <c r="A2" s="1" t="s">
        <v>11</v>
      </c>
      <c r="B2" s="1" t="s">
        <v>12</v>
      </c>
      <c r="C2" s="1" t="s">
        <v>13</v>
      </c>
      <c r="D2" s="1" t="s">
        <v>14</v>
      </c>
      <c r="E2" s="2">
        <v>41876</v>
      </c>
      <c r="F2" s="2">
        <v>42103</v>
      </c>
      <c r="G2">
        <v>6</v>
      </c>
      <c r="H2" s="8">
        <v>427300</v>
      </c>
      <c r="I2">
        <v>27</v>
      </c>
      <c r="J2" s="8">
        <v>71217</v>
      </c>
      <c r="K2">
        <v>0</v>
      </c>
    </row>
    <row r="3" spans="1:11" x14ac:dyDescent="0.3">
      <c r="A3" s="1" t="s">
        <v>15</v>
      </c>
      <c r="B3" s="1" t="s">
        <v>239</v>
      </c>
      <c r="C3" s="1" t="s">
        <v>16</v>
      </c>
      <c r="D3" s="1" t="s">
        <v>17</v>
      </c>
      <c r="E3" s="2">
        <v>41535</v>
      </c>
      <c r="F3" s="2">
        <v>42067</v>
      </c>
      <c r="G3">
        <v>4</v>
      </c>
      <c r="H3" s="8">
        <v>140295</v>
      </c>
      <c r="I3">
        <v>63</v>
      </c>
      <c r="J3" s="8">
        <v>35074</v>
      </c>
      <c r="K3">
        <v>0</v>
      </c>
    </row>
    <row r="4" spans="1:11" x14ac:dyDescent="0.3">
      <c r="A4" s="1" t="s">
        <v>18</v>
      </c>
      <c r="B4" s="1" t="s">
        <v>240</v>
      </c>
      <c r="C4" s="1" t="s">
        <v>16</v>
      </c>
      <c r="D4" s="1" t="s">
        <v>17</v>
      </c>
      <c r="E4" s="2">
        <v>41605</v>
      </c>
      <c r="F4" s="2">
        <v>42032</v>
      </c>
      <c r="G4">
        <v>7</v>
      </c>
      <c r="H4" s="8">
        <v>702398</v>
      </c>
      <c r="I4">
        <v>98</v>
      </c>
      <c r="J4" s="8">
        <v>100343</v>
      </c>
      <c r="K4">
        <v>1</v>
      </c>
    </row>
    <row r="5" spans="1:11" x14ac:dyDescent="0.3">
      <c r="A5" s="1" t="s">
        <v>19</v>
      </c>
      <c r="B5" s="1" t="s">
        <v>241</v>
      </c>
      <c r="C5" s="1" t="s">
        <v>20</v>
      </c>
      <c r="D5" s="1" t="s">
        <v>21</v>
      </c>
      <c r="E5" s="2">
        <v>41593</v>
      </c>
      <c r="F5" s="2">
        <v>42104</v>
      </c>
      <c r="G5">
        <v>13</v>
      </c>
      <c r="H5" s="8">
        <v>1339065</v>
      </c>
      <c r="I5">
        <v>26</v>
      </c>
      <c r="J5" s="8">
        <v>103005</v>
      </c>
      <c r="K5">
        <v>0</v>
      </c>
    </row>
    <row r="6" spans="1:11" x14ac:dyDescent="0.3">
      <c r="A6" s="1" t="s">
        <v>22</v>
      </c>
      <c r="B6" s="1" t="s">
        <v>242</v>
      </c>
      <c r="C6" s="1" t="s">
        <v>23</v>
      </c>
      <c r="D6" s="1" t="s">
        <v>24</v>
      </c>
      <c r="E6" s="2">
        <v>41498</v>
      </c>
      <c r="F6" s="2">
        <v>42067</v>
      </c>
      <c r="G6">
        <v>18</v>
      </c>
      <c r="H6" s="8">
        <v>2492758</v>
      </c>
      <c r="I6">
        <v>63</v>
      </c>
      <c r="J6" s="8">
        <v>138487</v>
      </c>
      <c r="K6">
        <v>0</v>
      </c>
    </row>
    <row r="7" spans="1:11" x14ac:dyDescent="0.3">
      <c r="A7" s="1" t="s">
        <v>25</v>
      </c>
      <c r="B7" s="1" t="s">
        <v>26</v>
      </c>
      <c r="C7" s="1" t="s">
        <v>27</v>
      </c>
      <c r="D7" s="1" t="s">
        <v>14</v>
      </c>
      <c r="E7" s="2">
        <v>41738</v>
      </c>
      <c r="F7" s="2">
        <v>42123</v>
      </c>
      <c r="G7">
        <v>7</v>
      </c>
      <c r="H7" s="8">
        <v>323980</v>
      </c>
      <c r="I7">
        <v>7</v>
      </c>
      <c r="J7" s="8">
        <v>46283</v>
      </c>
      <c r="K7">
        <v>0</v>
      </c>
    </row>
    <row r="8" spans="1:11" x14ac:dyDescent="0.3">
      <c r="A8" s="1" t="s">
        <v>28</v>
      </c>
      <c r="B8" s="1" t="s">
        <v>243</v>
      </c>
      <c r="C8" s="1" t="s">
        <v>29</v>
      </c>
      <c r="D8" s="1" t="s">
        <v>30</v>
      </c>
      <c r="E8" s="2">
        <v>41480</v>
      </c>
      <c r="F8" s="2">
        <v>42016</v>
      </c>
      <c r="G8">
        <v>11</v>
      </c>
      <c r="H8" s="8">
        <v>1853408</v>
      </c>
      <c r="I8">
        <v>114</v>
      </c>
      <c r="J8" s="8">
        <v>168492</v>
      </c>
      <c r="K8">
        <v>1</v>
      </c>
    </row>
    <row r="9" spans="1:11" x14ac:dyDescent="0.3">
      <c r="A9" s="1" t="s">
        <v>31</v>
      </c>
      <c r="B9" s="1" t="s">
        <v>244</v>
      </c>
      <c r="C9" s="1" t="s">
        <v>32</v>
      </c>
      <c r="D9" s="1" t="s">
        <v>33</v>
      </c>
      <c r="E9" s="2">
        <v>41557</v>
      </c>
      <c r="F9" s="2">
        <v>42087</v>
      </c>
      <c r="G9">
        <v>3</v>
      </c>
      <c r="H9" s="8">
        <v>423285</v>
      </c>
      <c r="I9">
        <v>43</v>
      </c>
      <c r="J9" s="8">
        <v>141095</v>
      </c>
      <c r="K9">
        <v>0</v>
      </c>
    </row>
    <row r="10" spans="1:11" x14ac:dyDescent="0.3">
      <c r="A10" s="1" t="s">
        <v>34</v>
      </c>
      <c r="B10" s="1" t="s">
        <v>245</v>
      </c>
      <c r="C10" s="1" t="s">
        <v>35</v>
      </c>
      <c r="D10" s="1" t="s">
        <v>30</v>
      </c>
      <c r="E10" s="2">
        <v>41563</v>
      </c>
      <c r="F10" s="2">
        <v>42130</v>
      </c>
      <c r="G10">
        <v>17</v>
      </c>
      <c r="H10" s="8">
        <v>2196325</v>
      </c>
      <c r="I10">
        <v>0</v>
      </c>
      <c r="J10" s="8">
        <v>129196</v>
      </c>
      <c r="K10">
        <v>0</v>
      </c>
    </row>
    <row r="11" spans="1:11" x14ac:dyDescent="0.3">
      <c r="A11" s="1" t="s">
        <v>36</v>
      </c>
      <c r="B11" s="1" t="s">
        <v>37</v>
      </c>
      <c r="C11" s="1" t="s">
        <v>38</v>
      </c>
      <c r="D11" s="1" t="s">
        <v>39</v>
      </c>
      <c r="E11" s="2">
        <v>41628</v>
      </c>
      <c r="F11" s="2">
        <v>42118</v>
      </c>
      <c r="G11">
        <v>14</v>
      </c>
      <c r="H11" s="8">
        <v>2080160</v>
      </c>
      <c r="I11">
        <v>12</v>
      </c>
      <c r="J11" s="8">
        <v>148583</v>
      </c>
      <c r="K11">
        <v>0</v>
      </c>
    </row>
    <row r="12" spans="1:11" x14ac:dyDescent="0.3">
      <c r="A12" s="1" t="s">
        <v>40</v>
      </c>
      <c r="B12" s="1" t="s">
        <v>246</v>
      </c>
      <c r="C12" s="1" t="s">
        <v>20</v>
      </c>
      <c r="D12" s="1" t="s">
        <v>21</v>
      </c>
      <c r="E12" s="2">
        <v>41512</v>
      </c>
      <c r="F12" s="2">
        <v>42108</v>
      </c>
      <c r="G12">
        <v>10</v>
      </c>
      <c r="H12" s="8">
        <v>608990</v>
      </c>
      <c r="I12">
        <v>22</v>
      </c>
      <c r="J12" s="8">
        <v>60899</v>
      </c>
      <c r="K12">
        <v>0</v>
      </c>
    </row>
    <row r="13" spans="1:11" x14ac:dyDescent="0.3">
      <c r="A13" s="1" t="s">
        <v>41</v>
      </c>
      <c r="B13" s="1" t="s">
        <v>247</v>
      </c>
      <c r="C13" s="1" t="s">
        <v>42</v>
      </c>
      <c r="D13" s="1" t="s">
        <v>43</v>
      </c>
      <c r="E13" s="2">
        <v>41758</v>
      </c>
      <c r="F13" s="2">
        <v>42122</v>
      </c>
      <c r="G13">
        <v>6</v>
      </c>
      <c r="H13" s="8">
        <v>181480</v>
      </c>
      <c r="I13">
        <v>8</v>
      </c>
      <c r="J13" s="8">
        <v>30247</v>
      </c>
      <c r="K13">
        <v>0</v>
      </c>
    </row>
    <row r="14" spans="1:11" x14ac:dyDescent="0.3">
      <c r="A14" s="1" t="s">
        <v>44</v>
      </c>
      <c r="B14" s="1" t="s">
        <v>248</v>
      </c>
      <c r="C14" s="1" t="s">
        <v>16</v>
      </c>
      <c r="D14" s="1" t="s">
        <v>17</v>
      </c>
      <c r="E14" s="2">
        <v>41473</v>
      </c>
      <c r="F14" s="2">
        <v>41473</v>
      </c>
      <c r="G14">
        <v>1</v>
      </c>
      <c r="H14" s="8">
        <v>10080</v>
      </c>
      <c r="I14">
        <v>657</v>
      </c>
      <c r="J14" s="8">
        <v>10080</v>
      </c>
      <c r="K14">
        <v>1</v>
      </c>
    </row>
    <row r="15" spans="1:11" x14ac:dyDescent="0.3">
      <c r="A15" s="1" t="s">
        <v>45</v>
      </c>
      <c r="B15" s="1" t="s">
        <v>249</v>
      </c>
      <c r="C15" s="1" t="s">
        <v>46</v>
      </c>
      <c r="D15" s="1" t="s">
        <v>47</v>
      </c>
      <c r="E15" s="2">
        <v>41466</v>
      </c>
      <c r="F15" s="2">
        <v>42116</v>
      </c>
      <c r="G15">
        <v>8</v>
      </c>
      <c r="H15" s="8">
        <v>1234888</v>
      </c>
      <c r="I15">
        <v>14</v>
      </c>
      <c r="J15" s="8">
        <v>154361</v>
      </c>
      <c r="K15">
        <v>0</v>
      </c>
    </row>
    <row r="16" spans="1:11" x14ac:dyDescent="0.3">
      <c r="A16" s="1" t="s">
        <v>48</v>
      </c>
      <c r="B16" s="1" t="s">
        <v>250</v>
      </c>
      <c r="C16" s="1" t="s">
        <v>49</v>
      </c>
      <c r="D16" s="1" t="s">
        <v>50</v>
      </c>
      <c r="E16" s="2">
        <v>41513</v>
      </c>
      <c r="F16" s="2">
        <v>42116</v>
      </c>
      <c r="G16">
        <v>5</v>
      </c>
      <c r="H16" s="8">
        <v>381075</v>
      </c>
      <c r="I16">
        <v>14</v>
      </c>
      <c r="J16" s="8">
        <v>76215</v>
      </c>
      <c r="K16">
        <v>0</v>
      </c>
    </row>
    <row r="17" spans="1:11" x14ac:dyDescent="0.3">
      <c r="A17" s="1" t="s">
        <v>51</v>
      </c>
      <c r="B17" s="1" t="s">
        <v>52</v>
      </c>
      <c r="C17" s="1" t="s">
        <v>20</v>
      </c>
      <c r="D17" s="1" t="s">
        <v>21</v>
      </c>
      <c r="E17" s="2">
        <v>41674</v>
      </c>
      <c r="F17" s="2">
        <v>42027</v>
      </c>
      <c r="G17">
        <v>3</v>
      </c>
      <c r="H17" s="8">
        <v>171910</v>
      </c>
      <c r="I17">
        <v>103</v>
      </c>
      <c r="J17" s="8">
        <v>57303</v>
      </c>
      <c r="K17">
        <v>1</v>
      </c>
    </row>
    <row r="18" spans="1:11" x14ac:dyDescent="0.3">
      <c r="A18" s="1" t="s">
        <v>53</v>
      </c>
      <c r="B18" s="1" t="s">
        <v>54</v>
      </c>
      <c r="C18" s="1" t="s">
        <v>55</v>
      </c>
      <c r="D18" s="1" t="s">
        <v>14</v>
      </c>
      <c r="E18" s="2">
        <v>41604</v>
      </c>
      <c r="F18" s="2">
        <v>42128</v>
      </c>
      <c r="G18">
        <v>6</v>
      </c>
      <c r="H18" s="8">
        <v>376321</v>
      </c>
      <c r="I18">
        <v>2</v>
      </c>
      <c r="J18" s="8">
        <v>62720</v>
      </c>
      <c r="K18">
        <v>0</v>
      </c>
    </row>
    <row r="19" spans="1:11" x14ac:dyDescent="0.3">
      <c r="A19" s="1" t="s">
        <v>56</v>
      </c>
      <c r="B19" s="1" t="s">
        <v>251</v>
      </c>
      <c r="C19" s="1" t="s">
        <v>57</v>
      </c>
      <c r="D19" s="1" t="s">
        <v>30</v>
      </c>
      <c r="E19" s="2">
        <v>41537</v>
      </c>
      <c r="F19" s="2">
        <v>42051</v>
      </c>
      <c r="G19">
        <v>4</v>
      </c>
      <c r="H19" s="8">
        <v>161590</v>
      </c>
      <c r="I19">
        <v>79</v>
      </c>
      <c r="J19" s="8">
        <v>40398</v>
      </c>
      <c r="K19">
        <v>0</v>
      </c>
    </row>
    <row r="20" spans="1:11" x14ac:dyDescent="0.3">
      <c r="A20" s="1" t="s">
        <v>58</v>
      </c>
      <c r="B20" s="1" t="s">
        <v>59</v>
      </c>
      <c r="C20" s="1" t="s">
        <v>20</v>
      </c>
      <c r="D20" s="1" t="s">
        <v>21</v>
      </c>
      <c r="E20" s="2">
        <v>41604</v>
      </c>
      <c r="F20" s="2">
        <v>42122</v>
      </c>
      <c r="G20">
        <v>8</v>
      </c>
      <c r="H20" s="8">
        <v>1476103</v>
      </c>
      <c r="I20">
        <v>8</v>
      </c>
      <c r="J20" s="8">
        <v>184513</v>
      </c>
      <c r="K20">
        <v>0</v>
      </c>
    </row>
    <row r="21" spans="1:11" x14ac:dyDescent="0.3">
      <c r="A21" s="1" t="s">
        <v>60</v>
      </c>
      <c r="B21" s="1" t="s">
        <v>61</v>
      </c>
      <c r="C21" s="1" t="s">
        <v>62</v>
      </c>
      <c r="D21" s="1" t="s">
        <v>63</v>
      </c>
      <c r="E21" s="2">
        <v>41472</v>
      </c>
      <c r="F21" s="2">
        <v>42129</v>
      </c>
      <c r="G21">
        <v>30</v>
      </c>
      <c r="H21" s="8">
        <v>10487498</v>
      </c>
      <c r="I21">
        <v>1</v>
      </c>
      <c r="J21" s="8">
        <v>349583</v>
      </c>
      <c r="K21">
        <v>0</v>
      </c>
    </row>
    <row r="22" spans="1:11" x14ac:dyDescent="0.3">
      <c r="A22" s="1" t="s">
        <v>64</v>
      </c>
      <c r="B22" s="1" t="s">
        <v>65</v>
      </c>
      <c r="C22" s="1" t="s">
        <v>49</v>
      </c>
      <c r="D22" s="1" t="s">
        <v>50</v>
      </c>
      <c r="E22" s="2">
        <v>41584</v>
      </c>
      <c r="F22" s="2">
        <v>41943</v>
      </c>
      <c r="G22">
        <v>7</v>
      </c>
      <c r="H22" s="8">
        <v>410755</v>
      </c>
      <c r="I22">
        <v>187</v>
      </c>
      <c r="J22" s="8">
        <v>58679</v>
      </c>
      <c r="K22">
        <v>1</v>
      </c>
    </row>
    <row r="23" spans="1:11" x14ac:dyDescent="0.3">
      <c r="A23" s="1" t="s">
        <v>66</v>
      </c>
      <c r="B23" s="1" t="s">
        <v>252</v>
      </c>
      <c r="C23" s="1" t="s">
        <v>67</v>
      </c>
      <c r="D23" s="1" t="s">
        <v>30</v>
      </c>
      <c r="E23" s="2">
        <v>41647</v>
      </c>
      <c r="F23" s="2">
        <v>41995</v>
      </c>
      <c r="G23">
        <v>5</v>
      </c>
      <c r="H23" s="8">
        <v>1166690</v>
      </c>
      <c r="I23">
        <v>135</v>
      </c>
      <c r="J23" s="8">
        <v>233338</v>
      </c>
      <c r="K23">
        <v>1</v>
      </c>
    </row>
    <row r="24" spans="1:11" x14ac:dyDescent="0.3">
      <c r="A24" s="1" t="s">
        <v>68</v>
      </c>
      <c r="B24" s="1" t="s">
        <v>253</v>
      </c>
      <c r="C24" s="1" t="s">
        <v>69</v>
      </c>
      <c r="D24" s="1" t="s">
        <v>24</v>
      </c>
      <c r="E24" s="2">
        <v>41479</v>
      </c>
      <c r="F24" s="2">
        <v>42121</v>
      </c>
      <c r="G24">
        <v>19</v>
      </c>
      <c r="H24" s="8">
        <v>2956756</v>
      </c>
      <c r="I24">
        <v>9</v>
      </c>
      <c r="J24" s="8">
        <v>155619</v>
      </c>
      <c r="K24">
        <v>0</v>
      </c>
    </row>
    <row r="25" spans="1:11" x14ac:dyDescent="0.3">
      <c r="A25" s="1" t="s">
        <v>70</v>
      </c>
      <c r="B25" s="1" t="s">
        <v>71</v>
      </c>
      <c r="C25" s="1" t="s">
        <v>72</v>
      </c>
      <c r="D25" s="1" t="s">
        <v>14</v>
      </c>
      <c r="E25" s="2">
        <v>41484</v>
      </c>
      <c r="F25" s="2">
        <v>42103</v>
      </c>
      <c r="G25">
        <v>15</v>
      </c>
      <c r="H25" s="8">
        <v>2665656</v>
      </c>
      <c r="I25">
        <v>27</v>
      </c>
      <c r="J25" s="8">
        <v>177710</v>
      </c>
      <c r="K25">
        <v>0</v>
      </c>
    </row>
    <row r="26" spans="1:11" x14ac:dyDescent="0.3">
      <c r="A26" s="1" t="s">
        <v>73</v>
      </c>
      <c r="B26" s="1" t="s">
        <v>254</v>
      </c>
      <c r="C26" s="1" t="s">
        <v>57</v>
      </c>
      <c r="D26" s="1" t="s">
        <v>30</v>
      </c>
      <c r="E26" s="2">
        <v>41899</v>
      </c>
      <c r="F26" s="2">
        <v>42087</v>
      </c>
      <c r="G26">
        <v>3</v>
      </c>
      <c r="H26" s="8">
        <v>317216</v>
      </c>
      <c r="I26">
        <v>43</v>
      </c>
      <c r="J26" s="8">
        <v>105739</v>
      </c>
      <c r="K26">
        <v>0</v>
      </c>
    </row>
    <row r="27" spans="1:11" x14ac:dyDescent="0.3">
      <c r="A27" s="1" t="s">
        <v>74</v>
      </c>
      <c r="B27" s="1" t="s">
        <v>255</v>
      </c>
      <c r="C27" s="1" t="s">
        <v>75</v>
      </c>
      <c r="D27" s="1" t="s">
        <v>76</v>
      </c>
      <c r="E27" s="2">
        <v>41661</v>
      </c>
      <c r="F27" s="2">
        <v>42124</v>
      </c>
      <c r="G27">
        <v>6</v>
      </c>
      <c r="H27" s="8">
        <v>154570</v>
      </c>
      <c r="I27">
        <v>6</v>
      </c>
      <c r="J27" s="8">
        <v>25762</v>
      </c>
      <c r="K27">
        <v>0</v>
      </c>
    </row>
    <row r="28" spans="1:11" x14ac:dyDescent="0.3">
      <c r="A28" s="1" t="s">
        <v>77</v>
      </c>
      <c r="B28" s="1" t="s">
        <v>256</v>
      </c>
      <c r="C28" s="1" t="s">
        <v>78</v>
      </c>
      <c r="D28" s="1" t="s">
        <v>79</v>
      </c>
      <c r="E28" s="2">
        <v>41561</v>
      </c>
      <c r="F28" s="2">
        <v>42082</v>
      </c>
      <c r="G28">
        <v>8</v>
      </c>
      <c r="H28" s="8">
        <v>642742</v>
      </c>
      <c r="I28">
        <v>48</v>
      </c>
      <c r="J28" s="8">
        <v>80343</v>
      </c>
      <c r="K28">
        <v>0</v>
      </c>
    </row>
    <row r="29" spans="1:11" x14ac:dyDescent="0.3">
      <c r="A29" s="1" t="s">
        <v>80</v>
      </c>
      <c r="B29" s="1" t="s">
        <v>257</v>
      </c>
      <c r="C29" s="1" t="s">
        <v>81</v>
      </c>
      <c r="D29" s="1" t="s">
        <v>33</v>
      </c>
      <c r="E29" s="2">
        <v>41606</v>
      </c>
      <c r="F29" s="2">
        <v>42068</v>
      </c>
      <c r="G29">
        <v>5</v>
      </c>
      <c r="H29" s="8">
        <v>83670</v>
      </c>
      <c r="I29">
        <v>62</v>
      </c>
      <c r="J29" s="8">
        <v>16734</v>
      </c>
      <c r="K29">
        <v>0</v>
      </c>
    </row>
    <row r="30" spans="1:11" x14ac:dyDescent="0.3">
      <c r="A30" s="1" t="s">
        <v>82</v>
      </c>
      <c r="B30" s="1" t="s">
        <v>258</v>
      </c>
      <c r="C30" s="1" t="s">
        <v>83</v>
      </c>
      <c r="D30" s="1" t="s">
        <v>33</v>
      </c>
      <c r="E30" s="2">
        <v>41528</v>
      </c>
      <c r="F30" s="2">
        <v>42115</v>
      </c>
      <c r="G30">
        <v>10</v>
      </c>
      <c r="H30" s="8">
        <v>1144636</v>
      </c>
      <c r="I30">
        <v>15</v>
      </c>
      <c r="J30" s="8">
        <v>114464</v>
      </c>
      <c r="K30">
        <v>0</v>
      </c>
    </row>
    <row r="31" spans="1:11" x14ac:dyDescent="0.3">
      <c r="A31" s="1" t="s">
        <v>84</v>
      </c>
      <c r="B31" s="1" t="s">
        <v>85</v>
      </c>
      <c r="C31" s="1" t="s">
        <v>86</v>
      </c>
      <c r="D31" s="1" t="s">
        <v>50</v>
      </c>
      <c r="E31" s="2">
        <v>41662</v>
      </c>
      <c r="F31" s="2">
        <v>42118</v>
      </c>
      <c r="G31">
        <v>9</v>
      </c>
      <c r="H31" s="8">
        <v>841413</v>
      </c>
      <c r="I31">
        <v>12</v>
      </c>
      <c r="J31" s="8">
        <v>93490</v>
      </c>
      <c r="K31">
        <v>0</v>
      </c>
    </row>
    <row r="32" spans="1:11" x14ac:dyDescent="0.3">
      <c r="A32" s="1" t="s">
        <v>87</v>
      </c>
      <c r="B32" s="1" t="s">
        <v>88</v>
      </c>
      <c r="C32" s="1" t="s">
        <v>89</v>
      </c>
      <c r="D32" s="1" t="s">
        <v>90</v>
      </c>
      <c r="E32" s="2">
        <v>41765</v>
      </c>
      <c r="F32" s="2">
        <v>42124</v>
      </c>
      <c r="G32">
        <v>11</v>
      </c>
      <c r="H32" s="8">
        <v>1850745</v>
      </c>
      <c r="I32">
        <v>6</v>
      </c>
      <c r="J32" s="8">
        <v>168250</v>
      </c>
      <c r="K32">
        <v>0</v>
      </c>
    </row>
    <row r="33" spans="1:11" x14ac:dyDescent="0.3">
      <c r="A33" s="1" t="s">
        <v>91</v>
      </c>
      <c r="B33" s="1" t="s">
        <v>259</v>
      </c>
      <c r="C33" s="1" t="s">
        <v>92</v>
      </c>
      <c r="D33" s="1" t="s">
        <v>93</v>
      </c>
      <c r="E33" s="2">
        <v>41485</v>
      </c>
      <c r="F33" s="2">
        <v>41991</v>
      </c>
      <c r="G33">
        <v>2</v>
      </c>
      <c r="H33" s="8">
        <v>148870</v>
      </c>
      <c r="I33">
        <v>139</v>
      </c>
      <c r="J33" s="8">
        <v>74435</v>
      </c>
      <c r="K33">
        <v>1</v>
      </c>
    </row>
    <row r="34" spans="1:11" x14ac:dyDescent="0.3">
      <c r="A34" s="1" t="s">
        <v>94</v>
      </c>
      <c r="B34" s="1" t="s">
        <v>95</v>
      </c>
      <c r="C34" s="1" t="s">
        <v>96</v>
      </c>
      <c r="D34" s="1" t="s">
        <v>50</v>
      </c>
      <c r="E34" s="2">
        <v>41463</v>
      </c>
      <c r="F34" s="2">
        <v>42121</v>
      </c>
      <c r="G34">
        <v>14</v>
      </c>
      <c r="H34" s="8">
        <v>3284137</v>
      </c>
      <c r="I34">
        <v>9</v>
      </c>
      <c r="J34" s="8">
        <v>234581</v>
      </c>
      <c r="K34">
        <v>0</v>
      </c>
    </row>
    <row r="35" spans="1:11" x14ac:dyDescent="0.3">
      <c r="A35" s="1" t="s">
        <v>97</v>
      </c>
      <c r="B35" s="1" t="s">
        <v>260</v>
      </c>
      <c r="C35" s="1" t="s">
        <v>98</v>
      </c>
      <c r="D35" s="1" t="s">
        <v>93</v>
      </c>
      <c r="E35" s="2">
        <v>41471</v>
      </c>
      <c r="F35" s="2">
        <v>42122</v>
      </c>
      <c r="G35">
        <v>18</v>
      </c>
      <c r="H35" s="8">
        <v>2276876</v>
      </c>
      <c r="I35">
        <v>8</v>
      </c>
      <c r="J35" s="8">
        <v>126493</v>
      </c>
      <c r="K35">
        <v>0</v>
      </c>
    </row>
    <row r="36" spans="1:11" x14ac:dyDescent="0.3">
      <c r="A36" s="1" t="s">
        <v>99</v>
      </c>
      <c r="B36" s="1" t="s">
        <v>100</v>
      </c>
      <c r="C36" s="1" t="s">
        <v>101</v>
      </c>
      <c r="D36" s="1" t="s">
        <v>90</v>
      </c>
      <c r="E36" s="2">
        <v>41614</v>
      </c>
      <c r="F36" s="2">
        <v>41890</v>
      </c>
      <c r="G36">
        <v>5</v>
      </c>
      <c r="H36" s="8">
        <v>306320</v>
      </c>
      <c r="I36">
        <v>240</v>
      </c>
      <c r="J36" s="8">
        <v>61264</v>
      </c>
      <c r="K36">
        <v>1</v>
      </c>
    </row>
    <row r="37" spans="1:11" x14ac:dyDescent="0.3">
      <c r="A37" s="1" t="s">
        <v>102</v>
      </c>
      <c r="B37" s="1" t="s">
        <v>103</v>
      </c>
      <c r="C37" s="1" t="s">
        <v>104</v>
      </c>
      <c r="D37" s="1" t="s">
        <v>105</v>
      </c>
      <c r="E37" s="2">
        <v>41522</v>
      </c>
      <c r="F37" s="2">
        <v>42124</v>
      </c>
      <c r="G37">
        <v>19</v>
      </c>
      <c r="H37" s="8">
        <v>4997991</v>
      </c>
      <c r="I37">
        <v>6</v>
      </c>
      <c r="J37" s="8">
        <v>263052</v>
      </c>
      <c r="K37">
        <v>0</v>
      </c>
    </row>
    <row r="38" spans="1:11" x14ac:dyDescent="0.3">
      <c r="A38" s="1" t="s">
        <v>106</v>
      </c>
      <c r="B38" s="1" t="s">
        <v>107</v>
      </c>
      <c r="C38" s="1" t="s">
        <v>108</v>
      </c>
      <c r="D38" s="1" t="s">
        <v>21</v>
      </c>
      <c r="E38" s="2">
        <v>41543</v>
      </c>
      <c r="F38" s="2">
        <v>42069</v>
      </c>
      <c r="G38">
        <v>10</v>
      </c>
      <c r="H38" s="8">
        <v>614630</v>
      </c>
      <c r="I38">
        <v>61</v>
      </c>
      <c r="J38" s="8">
        <v>61463</v>
      </c>
      <c r="K38">
        <v>0</v>
      </c>
    </row>
    <row r="39" spans="1:11" x14ac:dyDescent="0.3">
      <c r="A39" s="1" t="s">
        <v>109</v>
      </c>
      <c r="B39" s="1" t="s">
        <v>261</v>
      </c>
      <c r="C39" s="1" t="s">
        <v>110</v>
      </c>
      <c r="D39" s="1" t="s">
        <v>14</v>
      </c>
      <c r="E39" s="2">
        <v>41554</v>
      </c>
      <c r="F39" s="2">
        <v>42110</v>
      </c>
      <c r="G39">
        <v>14</v>
      </c>
      <c r="H39" s="8">
        <v>3090838</v>
      </c>
      <c r="I39">
        <v>20</v>
      </c>
      <c r="J39" s="8">
        <v>220774</v>
      </c>
      <c r="K39">
        <v>0</v>
      </c>
    </row>
    <row r="40" spans="1:11" x14ac:dyDescent="0.3">
      <c r="A40" s="1" t="s">
        <v>111</v>
      </c>
      <c r="B40" s="1" t="s">
        <v>262</v>
      </c>
      <c r="C40" s="1" t="s">
        <v>112</v>
      </c>
      <c r="D40" s="1" t="s">
        <v>30</v>
      </c>
      <c r="E40" s="2">
        <v>42033</v>
      </c>
      <c r="F40" s="2">
        <v>42087</v>
      </c>
      <c r="G40">
        <v>4</v>
      </c>
      <c r="H40" s="8">
        <v>199205</v>
      </c>
      <c r="I40">
        <v>43</v>
      </c>
      <c r="J40" s="8">
        <v>49801</v>
      </c>
      <c r="K40">
        <v>0</v>
      </c>
    </row>
    <row r="41" spans="1:11" x14ac:dyDescent="0.3">
      <c r="A41" s="1" t="s">
        <v>113</v>
      </c>
      <c r="B41" s="1" t="s">
        <v>263</v>
      </c>
      <c r="C41" s="1" t="s">
        <v>114</v>
      </c>
      <c r="D41" s="1" t="s">
        <v>30</v>
      </c>
      <c r="E41" s="2">
        <v>41589</v>
      </c>
      <c r="F41" s="2">
        <v>42121</v>
      </c>
      <c r="G41">
        <v>14</v>
      </c>
      <c r="H41" s="8">
        <v>932820</v>
      </c>
      <c r="I41">
        <v>9</v>
      </c>
      <c r="J41" s="8">
        <v>66630</v>
      </c>
      <c r="K41">
        <v>0</v>
      </c>
    </row>
    <row r="42" spans="1:11" x14ac:dyDescent="0.3">
      <c r="A42" s="1" t="s">
        <v>115</v>
      </c>
      <c r="B42" s="1" t="s">
        <v>116</v>
      </c>
      <c r="C42" s="1" t="s">
        <v>117</v>
      </c>
      <c r="D42" s="1" t="s">
        <v>39</v>
      </c>
      <c r="E42" s="2">
        <v>41732</v>
      </c>
      <c r="F42" s="2">
        <v>42005</v>
      </c>
      <c r="G42">
        <v>3</v>
      </c>
      <c r="H42" s="8">
        <v>52250</v>
      </c>
      <c r="I42">
        <v>125</v>
      </c>
      <c r="J42" s="8">
        <v>17417</v>
      </c>
      <c r="K42">
        <v>1</v>
      </c>
    </row>
    <row r="43" spans="1:11" x14ac:dyDescent="0.3">
      <c r="A43" s="1" t="s">
        <v>118</v>
      </c>
      <c r="B43" s="1" t="s">
        <v>119</v>
      </c>
      <c r="C43" s="1" t="s">
        <v>120</v>
      </c>
      <c r="D43" s="1" t="s">
        <v>90</v>
      </c>
      <c r="E43" s="2">
        <v>41719</v>
      </c>
      <c r="F43" s="2">
        <v>41781</v>
      </c>
      <c r="G43">
        <v>2</v>
      </c>
      <c r="H43" s="8">
        <v>35700</v>
      </c>
      <c r="I43">
        <v>349</v>
      </c>
      <c r="J43" s="8">
        <v>17850</v>
      </c>
      <c r="K43">
        <v>1</v>
      </c>
    </row>
    <row r="44" spans="1:11" x14ac:dyDescent="0.3">
      <c r="A44" s="1" t="s">
        <v>121</v>
      </c>
      <c r="B44" s="1" t="s">
        <v>122</v>
      </c>
      <c r="C44" s="1" t="s">
        <v>123</v>
      </c>
      <c r="D44" s="1" t="s">
        <v>14</v>
      </c>
      <c r="E44" s="2">
        <v>41499</v>
      </c>
      <c r="F44" s="2">
        <v>42129</v>
      </c>
      <c r="G44">
        <v>15</v>
      </c>
      <c r="H44" s="8">
        <v>1926141</v>
      </c>
      <c r="I44">
        <v>1</v>
      </c>
      <c r="J44" s="8">
        <v>128409</v>
      </c>
      <c r="K44">
        <v>0</v>
      </c>
    </row>
    <row r="45" spans="1:11" x14ac:dyDescent="0.3">
      <c r="A45" s="1" t="s">
        <v>124</v>
      </c>
      <c r="B45" s="1" t="s">
        <v>264</v>
      </c>
      <c r="C45" s="1" t="s">
        <v>125</v>
      </c>
      <c r="D45" s="1" t="s">
        <v>90</v>
      </c>
      <c r="E45" s="2">
        <v>41815</v>
      </c>
      <c r="F45" s="2">
        <v>42047</v>
      </c>
      <c r="G45">
        <v>4</v>
      </c>
      <c r="H45" s="8">
        <v>307647</v>
      </c>
      <c r="I45">
        <v>83</v>
      </c>
      <c r="J45" s="8">
        <v>76912</v>
      </c>
      <c r="K45">
        <v>0</v>
      </c>
    </row>
    <row r="46" spans="1:11" x14ac:dyDescent="0.3">
      <c r="A46" s="1" t="s">
        <v>126</v>
      </c>
      <c r="B46" s="1" t="s">
        <v>265</v>
      </c>
      <c r="C46" s="1" t="s">
        <v>127</v>
      </c>
      <c r="D46" s="1" t="s">
        <v>93</v>
      </c>
      <c r="E46" s="2">
        <v>41502</v>
      </c>
      <c r="F46" s="2">
        <v>42129</v>
      </c>
      <c r="G46">
        <v>14</v>
      </c>
      <c r="H46" s="8">
        <v>1607660</v>
      </c>
      <c r="I46">
        <v>1</v>
      </c>
      <c r="J46" s="8">
        <v>114833</v>
      </c>
      <c r="K46">
        <v>0</v>
      </c>
    </row>
    <row r="47" spans="1:11" x14ac:dyDescent="0.3">
      <c r="A47" s="1" t="s">
        <v>128</v>
      </c>
      <c r="B47" s="1" t="s">
        <v>266</v>
      </c>
      <c r="C47" s="1" t="s">
        <v>129</v>
      </c>
      <c r="D47" s="1" t="s">
        <v>93</v>
      </c>
      <c r="E47" s="2">
        <v>41645</v>
      </c>
      <c r="F47" s="2">
        <v>42115</v>
      </c>
      <c r="G47">
        <v>12</v>
      </c>
      <c r="H47" s="8">
        <v>1647656</v>
      </c>
      <c r="I47">
        <v>15</v>
      </c>
      <c r="J47" s="8">
        <v>137305</v>
      </c>
      <c r="K47">
        <v>0</v>
      </c>
    </row>
    <row r="48" spans="1:11" x14ac:dyDescent="0.3">
      <c r="A48" s="1" t="s">
        <v>130</v>
      </c>
      <c r="B48" s="1" t="s">
        <v>131</v>
      </c>
      <c r="C48" s="1" t="s">
        <v>132</v>
      </c>
      <c r="D48" s="1" t="s">
        <v>90</v>
      </c>
      <c r="E48" s="2">
        <v>41534</v>
      </c>
      <c r="F48" s="2">
        <v>42107</v>
      </c>
      <c r="G48">
        <v>8</v>
      </c>
      <c r="H48" s="8">
        <v>425860</v>
      </c>
      <c r="I48">
        <v>23</v>
      </c>
      <c r="J48" s="8">
        <v>53233</v>
      </c>
      <c r="K48">
        <v>0</v>
      </c>
    </row>
    <row r="49" spans="1:11" x14ac:dyDescent="0.3">
      <c r="A49" s="1" t="s">
        <v>133</v>
      </c>
      <c r="B49" s="1" t="s">
        <v>134</v>
      </c>
      <c r="C49" s="1" t="s">
        <v>135</v>
      </c>
      <c r="D49" s="1" t="s">
        <v>76</v>
      </c>
      <c r="E49" s="2">
        <v>41493</v>
      </c>
      <c r="F49" s="2">
        <v>42079</v>
      </c>
      <c r="G49">
        <v>10</v>
      </c>
      <c r="H49" s="8">
        <v>717621</v>
      </c>
      <c r="I49">
        <v>51</v>
      </c>
      <c r="J49" s="8">
        <v>71762</v>
      </c>
      <c r="K49">
        <v>0</v>
      </c>
    </row>
    <row r="50" spans="1:11" x14ac:dyDescent="0.3">
      <c r="A50" s="1" t="s">
        <v>136</v>
      </c>
      <c r="B50" s="1" t="s">
        <v>137</v>
      </c>
      <c r="C50" s="1" t="s">
        <v>138</v>
      </c>
      <c r="D50" s="1" t="s">
        <v>139</v>
      </c>
      <c r="E50" s="2">
        <v>41766</v>
      </c>
      <c r="F50" s="2">
        <v>42101</v>
      </c>
      <c r="G50">
        <v>7</v>
      </c>
      <c r="H50" s="8">
        <v>973608</v>
      </c>
      <c r="I50">
        <v>29</v>
      </c>
      <c r="J50" s="8">
        <v>139087</v>
      </c>
      <c r="K50">
        <v>0</v>
      </c>
    </row>
    <row r="51" spans="1:11" x14ac:dyDescent="0.3">
      <c r="A51" s="1" t="s">
        <v>140</v>
      </c>
      <c r="B51" s="1" t="s">
        <v>267</v>
      </c>
      <c r="C51" s="1" t="s">
        <v>141</v>
      </c>
      <c r="D51" s="1" t="s">
        <v>39</v>
      </c>
      <c r="E51" s="2">
        <v>41564</v>
      </c>
      <c r="F51" s="2">
        <v>41942</v>
      </c>
      <c r="G51">
        <v>13</v>
      </c>
      <c r="H51" s="8">
        <v>2887219</v>
      </c>
      <c r="I51">
        <v>188</v>
      </c>
      <c r="J51" s="8">
        <v>222094</v>
      </c>
      <c r="K51">
        <v>1</v>
      </c>
    </row>
    <row r="52" spans="1:11" x14ac:dyDescent="0.3">
      <c r="A52" s="1" t="s">
        <v>142</v>
      </c>
      <c r="B52" s="1" t="s">
        <v>143</v>
      </c>
      <c r="C52" s="1" t="s">
        <v>144</v>
      </c>
      <c r="D52" s="1" t="s">
        <v>14</v>
      </c>
      <c r="E52" s="2">
        <v>41495</v>
      </c>
      <c r="F52" s="2">
        <v>42075</v>
      </c>
      <c r="G52">
        <v>5</v>
      </c>
      <c r="H52" s="8">
        <v>504220</v>
      </c>
      <c r="I52">
        <v>55</v>
      </c>
      <c r="J52" s="8">
        <v>100844</v>
      </c>
      <c r="K52">
        <v>0</v>
      </c>
    </row>
    <row r="53" spans="1:11" x14ac:dyDescent="0.3">
      <c r="A53" s="1" t="s">
        <v>145</v>
      </c>
      <c r="B53" s="1" t="s">
        <v>146</v>
      </c>
      <c r="C53" s="1" t="s">
        <v>20</v>
      </c>
      <c r="D53" s="1" t="s">
        <v>21</v>
      </c>
      <c r="E53" s="2">
        <v>41753</v>
      </c>
      <c r="F53" s="2">
        <v>42123</v>
      </c>
      <c r="G53">
        <v>3</v>
      </c>
      <c r="H53" s="8">
        <v>64900</v>
      </c>
      <c r="I53">
        <v>7</v>
      </c>
      <c r="J53" s="8">
        <v>21633</v>
      </c>
      <c r="K53">
        <v>0</v>
      </c>
    </row>
    <row r="54" spans="1:11" x14ac:dyDescent="0.3">
      <c r="A54" s="1" t="s">
        <v>147</v>
      </c>
      <c r="B54" s="1" t="s">
        <v>268</v>
      </c>
      <c r="C54" s="1" t="s">
        <v>42</v>
      </c>
      <c r="D54" s="1" t="s">
        <v>43</v>
      </c>
      <c r="E54" s="2">
        <v>41648</v>
      </c>
      <c r="F54" s="2">
        <v>42093</v>
      </c>
      <c r="G54">
        <v>5</v>
      </c>
      <c r="H54" s="8">
        <v>346020</v>
      </c>
      <c r="I54">
        <v>37</v>
      </c>
      <c r="J54" s="8">
        <v>69204</v>
      </c>
      <c r="K54">
        <v>0</v>
      </c>
    </row>
    <row r="55" spans="1:11" x14ac:dyDescent="0.3">
      <c r="A55" s="1" t="s">
        <v>148</v>
      </c>
      <c r="B55" s="1" t="s">
        <v>149</v>
      </c>
      <c r="C55" s="1" t="s">
        <v>150</v>
      </c>
      <c r="D55" s="1" t="s">
        <v>90</v>
      </c>
      <c r="E55" s="2">
        <v>41530</v>
      </c>
      <c r="F55" s="2">
        <v>42114</v>
      </c>
      <c r="G55">
        <v>10</v>
      </c>
      <c r="H55" s="8">
        <v>1517746</v>
      </c>
      <c r="I55">
        <v>16</v>
      </c>
      <c r="J55" s="8">
        <v>151775</v>
      </c>
      <c r="K55">
        <v>0</v>
      </c>
    </row>
    <row r="56" spans="1:11" x14ac:dyDescent="0.3">
      <c r="A56" s="1" t="s">
        <v>151</v>
      </c>
      <c r="B56" s="1" t="s">
        <v>269</v>
      </c>
      <c r="C56" s="1" t="s">
        <v>152</v>
      </c>
      <c r="D56" s="1" t="s">
        <v>14</v>
      </c>
      <c r="E56" s="2">
        <v>41474</v>
      </c>
      <c r="F56" s="2">
        <v>42108</v>
      </c>
      <c r="G56">
        <v>10</v>
      </c>
      <c r="H56" s="8">
        <v>1249620</v>
      </c>
      <c r="I56">
        <v>22</v>
      </c>
      <c r="J56" s="8">
        <v>124962</v>
      </c>
      <c r="K56">
        <v>0</v>
      </c>
    </row>
    <row r="57" spans="1:11" x14ac:dyDescent="0.3">
      <c r="A57" s="1" t="s">
        <v>153</v>
      </c>
      <c r="B57" s="1" t="s">
        <v>270</v>
      </c>
      <c r="C57" s="1" t="s">
        <v>16</v>
      </c>
      <c r="D57" s="1" t="s">
        <v>17</v>
      </c>
      <c r="E57" s="2">
        <v>41551</v>
      </c>
      <c r="F57" s="2">
        <v>42129</v>
      </c>
      <c r="G57">
        <v>6</v>
      </c>
      <c r="H57" s="8">
        <v>424220</v>
      </c>
      <c r="I57">
        <v>1</v>
      </c>
      <c r="J57" s="8">
        <v>70703</v>
      </c>
      <c r="K57">
        <v>0</v>
      </c>
    </row>
    <row r="58" spans="1:11" x14ac:dyDescent="0.3">
      <c r="A58" s="1" t="s">
        <v>154</v>
      </c>
      <c r="B58" s="1" t="s">
        <v>271</v>
      </c>
      <c r="C58" s="1" t="s">
        <v>155</v>
      </c>
      <c r="D58" s="1" t="s">
        <v>63</v>
      </c>
      <c r="E58" s="2">
        <v>41591</v>
      </c>
      <c r="F58" s="2">
        <v>42121</v>
      </c>
      <c r="G58">
        <v>10</v>
      </c>
      <c r="H58" s="8">
        <v>2312886</v>
      </c>
      <c r="I58">
        <v>9</v>
      </c>
      <c r="J58" s="8">
        <v>231289</v>
      </c>
      <c r="K58">
        <v>0</v>
      </c>
    </row>
    <row r="59" spans="1:11" x14ac:dyDescent="0.3">
      <c r="A59" s="1" t="s">
        <v>156</v>
      </c>
      <c r="B59" s="1" t="s">
        <v>157</v>
      </c>
      <c r="C59" s="1" t="s">
        <v>78</v>
      </c>
      <c r="D59" s="1" t="s">
        <v>79</v>
      </c>
      <c r="E59" s="2">
        <v>41570</v>
      </c>
      <c r="F59" s="2">
        <v>42102</v>
      </c>
      <c r="G59">
        <v>5</v>
      </c>
      <c r="H59" s="8">
        <v>504494</v>
      </c>
      <c r="I59">
        <v>28</v>
      </c>
      <c r="J59" s="8">
        <v>100899</v>
      </c>
      <c r="K59">
        <v>0</v>
      </c>
    </row>
    <row r="60" spans="1:11" x14ac:dyDescent="0.3">
      <c r="A60" s="1" t="s">
        <v>158</v>
      </c>
      <c r="B60" s="1" t="s">
        <v>272</v>
      </c>
      <c r="C60" s="1" t="s">
        <v>96</v>
      </c>
      <c r="D60" s="1" t="s">
        <v>50</v>
      </c>
      <c r="E60" s="2">
        <v>41474</v>
      </c>
      <c r="F60" s="2">
        <v>42094</v>
      </c>
      <c r="G60">
        <v>9</v>
      </c>
      <c r="H60" s="8">
        <v>666481</v>
      </c>
      <c r="I60">
        <v>36</v>
      </c>
      <c r="J60" s="8">
        <v>74053</v>
      </c>
      <c r="K60">
        <v>0</v>
      </c>
    </row>
    <row r="61" spans="1:11" x14ac:dyDescent="0.3">
      <c r="A61" s="1" t="s">
        <v>159</v>
      </c>
      <c r="B61" s="1" t="s">
        <v>160</v>
      </c>
      <c r="C61" s="1" t="s">
        <v>49</v>
      </c>
      <c r="D61" s="1" t="s">
        <v>50</v>
      </c>
      <c r="E61" s="2">
        <v>41612</v>
      </c>
      <c r="F61" s="2">
        <v>42128</v>
      </c>
      <c r="G61">
        <v>13</v>
      </c>
      <c r="H61" s="8">
        <v>2571750</v>
      </c>
      <c r="I61">
        <v>2</v>
      </c>
      <c r="J61" s="8">
        <v>197827</v>
      </c>
      <c r="K61">
        <v>0</v>
      </c>
    </row>
    <row r="62" spans="1:11" x14ac:dyDescent="0.3">
      <c r="A62" s="1" t="s">
        <v>161</v>
      </c>
      <c r="B62" s="1" t="s">
        <v>273</v>
      </c>
      <c r="C62" s="1" t="s">
        <v>162</v>
      </c>
      <c r="D62" s="1" t="s">
        <v>14</v>
      </c>
      <c r="E62" s="2">
        <v>41491</v>
      </c>
      <c r="F62" s="2">
        <v>42108</v>
      </c>
      <c r="G62">
        <v>28</v>
      </c>
      <c r="H62" s="8">
        <v>11027731</v>
      </c>
      <c r="I62">
        <v>22</v>
      </c>
      <c r="J62" s="8">
        <v>393848</v>
      </c>
      <c r="K62">
        <v>0</v>
      </c>
    </row>
    <row r="63" spans="1:11" x14ac:dyDescent="0.3">
      <c r="A63" s="1" t="s">
        <v>163</v>
      </c>
      <c r="B63" s="1" t="s">
        <v>274</v>
      </c>
      <c r="C63" s="1" t="s">
        <v>42</v>
      </c>
      <c r="D63" s="1" t="s">
        <v>43</v>
      </c>
      <c r="E63" s="2">
        <v>41687</v>
      </c>
      <c r="F63" s="2">
        <v>42107</v>
      </c>
      <c r="G63">
        <v>5</v>
      </c>
      <c r="H63" s="8">
        <v>284410</v>
      </c>
      <c r="I63">
        <v>23</v>
      </c>
      <c r="J63" s="8">
        <v>56882</v>
      </c>
      <c r="K63">
        <v>0</v>
      </c>
    </row>
    <row r="64" spans="1:11" x14ac:dyDescent="0.3">
      <c r="A64" s="1" t="s">
        <v>164</v>
      </c>
      <c r="B64" s="1" t="s">
        <v>165</v>
      </c>
      <c r="C64" s="1" t="s">
        <v>166</v>
      </c>
      <c r="D64" s="1" t="s">
        <v>90</v>
      </c>
      <c r="E64" s="2">
        <v>41477</v>
      </c>
      <c r="F64" s="2">
        <v>42130</v>
      </c>
      <c r="G64">
        <v>18</v>
      </c>
      <c r="H64" s="8">
        <v>5109780</v>
      </c>
      <c r="I64">
        <v>0</v>
      </c>
      <c r="J64" s="8">
        <v>283877</v>
      </c>
      <c r="K64">
        <v>0</v>
      </c>
    </row>
    <row r="65" spans="1:11" x14ac:dyDescent="0.3">
      <c r="A65" s="1" t="s">
        <v>167</v>
      </c>
      <c r="B65" s="1" t="s">
        <v>168</v>
      </c>
      <c r="C65" s="1" t="s">
        <v>169</v>
      </c>
      <c r="D65" s="1" t="s">
        <v>76</v>
      </c>
      <c r="E65" s="2">
        <v>41509</v>
      </c>
      <c r="F65" s="2">
        <v>42124</v>
      </c>
      <c r="G65">
        <v>12</v>
      </c>
      <c r="H65" s="8">
        <v>704824</v>
      </c>
      <c r="I65">
        <v>6</v>
      </c>
      <c r="J65" s="8">
        <v>58735</v>
      </c>
      <c r="K65">
        <v>0</v>
      </c>
    </row>
    <row r="66" spans="1:11" x14ac:dyDescent="0.3">
      <c r="A66" s="1" t="s">
        <v>170</v>
      </c>
      <c r="B66" s="1" t="s">
        <v>171</v>
      </c>
      <c r="C66" s="1" t="s">
        <v>96</v>
      </c>
      <c r="D66" s="1" t="s">
        <v>50</v>
      </c>
      <c r="E66" s="2">
        <v>41508</v>
      </c>
      <c r="F66" s="2">
        <v>42123</v>
      </c>
      <c r="G66">
        <v>11</v>
      </c>
      <c r="H66" s="8">
        <v>1245080</v>
      </c>
      <c r="I66">
        <v>7</v>
      </c>
      <c r="J66" s="8">
        <v>113189</v>
      </c>
      <c r="K66">
        <v>0</v>
      </c>
    </row>
    <row r="67" spans="1:11" x14ac:dyDescent="0.3">
      <c r="A67" s="1" t="s">
        <v>172</v>
      </c>
      <c r="B67" s="1" t="s">
        <v>173</v>
      </c>
      <c r="C67" s="1" t="s">
        <v>174</v>
      </c>
      <c r="D67" s="1" t="s">
        <v>47</v>
      </c>
      <c r="E67" s="2">
        <v>41467</v>
      </c>
      <c r="F67" s="2">
        <v>42130</v>
      </c>
      <c r="G67">
        <v>10</v>
      </c>
      <c r="H67" s="8">
        <v>1934378</v>
      </c>
      <c r="I67">
        <v>0</v>
      </c>
      <c r="J67" s="8">
        <v>193438</v>
      </c>
      <c r="K67">
        <v>0</v>
      </c>
    </row>
    <row r="68" spans="1:11" x14ac:dyDescent="0.3">
      <c r="A68" s="1" t="s">
        <v>175</v>
      </c>
      <c r="B68" s="1" t="s">
        <v>275</v>
      </c>
      <c r="C68" s="1" t="s">
        <v>32</v>
      </c>
      <c r="D68" s="1" t="s">
        <v>33</v>
      </c>
      <c r="E68" s="2">
        <v>41500</v>
      </c>
      <c r="F68" s="2">
        <v>42103</v>
      </c>
      <c r="G68">
        <v>5</v>
      </c>
      <c r="H68" s="8">
        <v>146729</v>
      </c>
      <c r="I68">
        <v>27</v>
      </c>
      <c r="J68" s="8">
        <v>29346</v>
      </c>
      <c r="K68">
        <v>0</v>
      </c>
    </row>
    <row r="69" spans="1:11" x14ac:dyDescent="0.3">
      <c r="A69" s="1" t="s">
        <v>176</v>
      </c>
      <c r="B69" s="1" t="s">
        <v>177</v>
      </c>
      <c r="C69" s="1" t="s">
        <v>178</v>
      </c>
      <c r="D69" s="1" t="s">
        <v>179</v>
      </c>
      <c r="E69" s="2">
        <v>41626</v>
      </c>
      <c r="F69" s="2">
        <v>42104</v>
      </c>
      <c r="G69">
        <v>6</v>
      </c>
      <c r="H69" s="8">
        <v>573515</v>
      </c>
      <c r="I69">
        <v>26</v>
      </c>
      <c r="J69" s="8">
        <v>95586</v>
      </c>
      <c r="K69">
        <v>0</v>
      </c>
    </row>
    <row r="70" spans="1:11" x14ac:dyDescent="0.3">
      <c r="A70" s="1" t="s">
        <v>180</v>
      </c>
      <c r="B70" s="1" t="s">
        <v>276</v>
      </c>
      <c r="C70" s="1" t="s">
        <v>181</v>
      </c>
      <c r="D70" s="1" t="s">
        <v>90</v>
      </c>
      <c r="E70" s="2">
        <v>41555</v>
      </c>
      <c r="F70" s="2">
        <v>42125</v>
      </c>
      <c r="G70">
        <v>31</v>
      </c>
      <c r="H70" s="8">
        <v>10436195</v>
      </c>
      <c r="I70">
        <v>5</v>
      </c>
      <c r="J70" s="8">
        <v>336651</v>
      </c>
      <c r="K70">
        <v>0</v>
      </c>
    </row>
    <row r="71" spans="1:11" x14ac:dyDescent="0.3">
      <c r="A71" s="1" t="s">
        <v>182</v>
      </c>
      <c r="B71" s="1" t="s">
        <v>183</v>
      </c>
      <c r="C71" s="1" t="s">
        <v>20</v>
      </c>
      <c r="D71" s="1" t="s">
        <v>21</v>
      </c>
      <c r="E71" s="2">
        <v>41599</v>
      </c>
      <c r="F71" s="2">
        <v>42039</v>
      </c>
      <c r="G71">
        <v>9</v>
      </c>
      <c r="H71" s="8">
        <v>1621533</v>
      </c>
      <c r="I71">
        <v>91</v>
      </c>
      <c r="J71" s="8">
        <v>180170</v>
      </c>
      <c r="K71">
        <v>1</v>
      </c>
    </row>
    <row r="72" spans="1:11" x14ac:dyDescent="0.3">
      <c r="A72" s="1" t="s">
        <v>184</v>
      </c>
      <c r="B72" s="1" t="s">
        <v>277</v>
      </c>
      <c r="C72" s="1" t="s">
        <v>185</v>
      </c>
      <c r="D72" s="1" t="s">
        <v>186</v>
      </c>
      <c r="E72" s="2">
        <v>41576</v>
      </c>
      <c r="F72" s="2">
        <v>42130</v>
      </c>
      <c r="G72">
        <v>7</v>
      </c>
      <c r="H72" s="8">
        <v>1681710</v>
      </c>
      <c r="I72">
        <v>0</v>
      </c>
      <c r="J72" s="8">
        <v>240244</v>
      </c>
      <c r="K72">
        <v>0</v>
      </c>
    </row>
    <row r="73" spans="1:11" x14ac:dyDescent="0.3">
      <c r="A73" s="1" t="s">
        <v>187</v>
      </c>
      <c r="B73" s="1" t="s">
        <v>278</v>
      </c>
      <c r="C73" s="1" t="s">
        <v>188</v>
      </c>
      <c r="D73" s="1" t="s">
        <v>30</v>
      </c>
      <c r="E73" s="2">
        <v>41955</v>
      </c>
      <c r="F73" s="2">
        <v>42116</v>
      </c>
      <c r="G73">
        <v>4</v>
      </c>
      <c r="H73" s="8">
        <v>242335</v>
      </c>
      <c r="I73">
        <v>14</v>
      </c>
      <c r="J73" s="8">
        <v>60584</v>
      </c>
      <c r="K73">
        <v>0</v>
      </c>
    </row>
    <row r="74" spans="1:11" x14ac:dyDescent="0.3">
      <c r="A74" s="1" t="s">
        <v>189</v>
      </c>
      <c r="B74" s="1" t="s">
        <v>190</v>
      </c>
      <c r="C74" s="1" t="s">
        <v>191</v>
      </c>
      <c r="D74" s="1" t="s">
        <v>90</v>
      </c>
      <c r="E74" s="2">
        <v>41487</v>
      </c>
      <c r="F74" s="2">
        <v>42088</v>
      </c>
      <c r="G74">
        <v>9</v>
      </c>
      <c r="H74" s="8">
        <v>1144163</v>
      </c>
      <c r="I74">
        <v>42</v>
      </c>
      <c r="J74" s="8">
        <v>127129</v>
      </c>
      <c r="K74">
        <v>0</v>
      </c>
    </row>
    <row r="75" spans="1:11" x14ac:dyDescent="0.3">
      <c r="A75" s="1" t="s">
        <v>192</v>
      </c>
      <c r="B75" s="1" t="s">
        <v>279</v>
      </c>
      <c r="C75" s="1" t="s">
        <v>193</v>
      </c>
      <c r="D75" s="1" t="s">
        <v>139</v>
      </c>
      <c r="E75" s="2">
        <v>41464</v>
      </c>
      <c r="F75" s="2">
        <v>42115</v>
      </c>
      <c r="G75">
        <v>12</v>
      </c>
      <c r="H75" s="8">
        <v>2408878</v>
      </c>
      <c r="I75">
        <v>15</v>
      </c>
      <c r="J75" s="8">
        <v>200740</v>
      </c>
      <c r="K75">
        <v>0</v>
      </c>
    </row>
    <row r="76" spans="1:11" x14ac:dyDescent="0.3">
      <c r="A76" s="1" t="s">
        <v>194</v>
      </c>
      <c r="B76" s="1" t="s">
        <v>195</v>
      </c>
      <c r="C76" s="1" t="s">
        <v>132</v>
      </c>
      <c r="D76" s="1" t="s">
        <v>90</v>
      </c>
      <c r="E76" s="2">
        <v>41537</v>
      </c>
      <c r="F76" s="2">
        <v>42095</v>
      </c>
      <c r="G76">
        <v>4</v>
      </c>
      <c r="H76" s="8">
        <v>336100</v>
      </c>
      <c r="I76">
        <v>35</v>
      </c>
      <c r="J76" s="8">
        <v>84025</v>
      </c>
      <c r="K76">
        <v>0</v>
      </c>
    </row>
    <row r="77" spans="1:11" x14ac:dyDescent="0.3">
      <c r="A77" s="1" t="s">
        <v>196</v>
      </c>
      <c r="B77" s="1" t="s">
        <v>197</v>
      </c>
      <c r="C77" s="1" t="s">
        <v>198</v>
      </c>
      <c r="D77" s="1" t="s">
        <v>90</v>
      </c>
      <c r="E77" s="2">
        <v>41858</v>
      </c>
      <c r="F77" s="2">
        <v>42100</v>
      </c>
      <c r="G77">
        <v>3</v>
      </c>
      <c r="H77" s="8">
        <v>194724</v>
      </c>
      <c r="I77">
        <v>30</v>
      </c>
      <c r="J77" s="8">
        <v>64908</v>
      </c>
      <c r="K77">
        <v>0</v>
      </c>
    </row>
    <row r="78" spans="1:11" x14ac:dyDescent="0.3">
      <c r="A78" s="1" t="s">
        <v>199</v>
      </c>
      <c r="B78" s="1" t="s">
        <v>280</v>
      </c>
      <c r="C78" s="1" t="s">
        <v>200</v>
      </c>
      <c r="D78" s="1" t="s">
        <v>14</v>
      </c>
      <c r="E78" s="2">
        <v>41460</v>
      </c>
      <c r="F78" s="2">
        <v>42086</v>
      </c>
      <c r="G78">
        <v>6</v>
      </c>
      <c r="H78" s="8">
        <v>477814</v>
      </c>
      <c r="I78">
        <v>44</v>
      </c>
      <c r="J78" s="8">
        <v>79636</v>
      </c>
      <c r="K78">
        <v>0</v>
      </c>
    </row>
    <row r="79" spans="1:11" x14ac:dyDescent="0.3">
      <c r="A79" s="1" t="s">
        <v>201</v>
      </c>
      <c r="B79" s="1" t="s">
        <v>202</v>
      </c>
      <c r="C79" s="1" t="s">
        <v>16</v>
      </c>
      <c r="D79" s="1" t="s">
        <v>17</v>
      </c>
      <c r="E79" s="2">
        <v>41494</v>
      </c>
      <c r="F79" s="2">
        <v>42128</v>
      </c>
      <c r="G79">
        <v>10</v>
      </c>
      <c r="H79" s="8">
        <v>1081215</v>
      </c>
      <c r="I79">
        <v>2</v>
      </c>
      <c r="J79" s="8">
        <v>108122</v>
      </c>
      <c r="K79">
        <v>0</v>
      </c>
    </row>
    <row r="80" spans="1:11" x14ac:dyDescent="0.3">
      <c r="A80" s="1" t="s">
        <v>203</v>
      </c>
      <c r="B80" s="1" t="s">
        <v>281</v>
      </c>
      <c r="C80" s="1" t="s">
        <v>49</v>
      </c>
      <c r="D80" s="1" t="s">
        <v>50</v>
      </c>
      <c r="E80" s="2">
        <v>41514</v>
      </c>
      <c r="F80" s="2">
        <v>42023</v>
      </c>
      <c r="G80">
        <v>6</v>
      </c>
      <c r="H80" s="8">
        <v>685066</v>
      </c>
      <c r="I80">
        <v>107</v>
      </c>
      <c r="J80" s="8">
        <v>114178</v>
      </c>
      <c r="K80">
        <v>1</v>
      </c>
    </row>
    <row r="81" spans="1:11" x14ac:dyDescent="0.3">
      <c r="A81" s="1" t="s">
        <v>204</v>
      </c>
      <c r="B81" s="1" t="s">
        <v>282</v>
      </c>
      <c r="C81" s="1" t="s">
        <v>205</v>
      </c>
      <c r="D81" s="1" t="s">
        <v>90</v>
      </c>
      <c r="E81" s="2">
        <v>41809</v>
      </c>
      <c r="F81" s="2">
        <v>42012</v>
      </c>
      <c r="G81">
        <v>3</v>
      </c>
      <c r="H81" s="8">
        <v>157120</v>
      </c>
      <c r="I81">
        <v>118</v>
      </c>
      <c r="J81" s="8">
        <v>52373</v>
      </c>
      <c r="K81">
        <v>1</v>
      </c>
    </row>
    <row r="82" spans="1:11" x14ac:dyDescent="0.3">
      <c r="A82" s="1" t="s">
        <v>206</v>
      </c>
      <c r="B82" s="1" t="s">
        <v>207</v>
      </c>
      <c r="C82" s="1" t="s">
        <v>208</v>
      </c>
      <c r="D82" s="1" t="s">
        <v>186</v>
      </c>
      <c r="E82" s="2">
        <v>41606</v>
      </c>
      <c r="F82" s="2">
        <v>42096</v>
      </c>
      <c r="G82">
        <v>11</v>
      </c>
      <c r="H82" s="8">
        <v>1584392</v>
      </c>
      <c r="I82">
        <v>34</v>
      </c>
      <c r="J82" s="8">
        <v>144036</v>
      </c>
      <c r="K82">
        <v>0</v>
      </c>
    </row>
    <row r="83" spans="1:11" x14ac:dyDescent="0.3">
      <c r="A83" s="1" t="s">
        <v>209</v>
      </c>
      <c r="B83" s="1" t="s">
        <v>283</v>
      </c>
      <c r="C83" s="1" t="s">
        <v>210</v>
      </c>
      <c r="D83" s="1" t="s">
        <v>30</v>
      </c>
      <c r="E83" s="2">
        <v>41463</v>
      </c>
      <c r="F83" s="2">
        <v>42027</v>
      </c>
      <c r="G83">
        <v>10</v>
      </c>
      <c r="H83" s="8">
        <v>918243</v>
      </c>
      <c r="I83">
        <v>103</v>
      </c>
      <c r="J83" s="8">
        <v>91824</v>
      </c>
      <c r="K83">
        <v>1</v>
      </c>
    </row>
    <row r="84" spans="1:11" x14ac:dyDescent="0.3">
      <c r="A84" s="1" t="s">
        <v>211</v>
      </c>
      <c r="B84" s="1" t="s">
        <v>284</v>
      </c>
      <c r="C84" s="1" t="s">
        <v>212</v>
      </c>
      <c r="D84" s="1" t="s">
        <v>30</v>
      </c>
      <c r="E84" s="2">
        <v>41459</v>
      </c>
      <c r="F84" s="2">
        <v>41955</v>
      </c>
      <c r="G84">
        <v>5</v>
      </c>
      <c r="H84" s="8">
        <v>148000</v>
      </c>
      <c r="I84">
        <v>175</v>
      </c>
      <c r="J84" s="8">
        <v>29600</v>
      </c>
      <c r="K84">
        <v>1</v>
      </c>
    </row>
    <row r="85" spans="1:11" x14ac:dyDescent="0.3">
      <c r="A85" s="1" t="s">
        <v>213</v>
      </c>
      <c r="B85" s="1" t="s">
        <v>214</v>
      </c>
      <c r="C85" s="1" t="s">
        <v>215</v>
      </c>
      <c r="D85" s="1" t="s">
        <v>14</v>
      </c>
      <c r="E85" s="2">
        <v>41526</v>
      </c>
      <c r="F85" s="2">
        <v>42117</v>
      </c>
      <c r="G85">
        <v>10</v>
      </c>
      <c r="H85" s="8">
        <v>958842</v>
      </c>
      <c r="I85">
        <v>13</v>
      </c>
      <c r="J85" s="8">
        <v>95884</v>
      </c>
      <c r="K85">
        <v>0</v>
      </c>
    </row>
    <row r="86" spans="1:11" x14ac:dyDescent="0.3">
      <c r="A86" s="1" t="s">
        <v>216</v>
      </c>
      <c r="B86" s="1" t="s">
        <v>217</v>
      </c>
      <c r="C86" s="1" t="s">
        <v>218</v>
      </c>
      <c r="D86" s="1" t="s">
        <v>219</v>
      </c>
      <c r="E86" s="2">
        <v>41481</v>
      </c>
      <c r="F86" s="2">
        <v>42109</v>
      </c>
      <c r="G86">
        <v>15</v>
      </c>
      <c r="H86" s="8">
        <v>1564870</v>
      </c>
      <c r="I86">
        <v>21</v>
      </c>
      <c r="J86" s="8">
        <v>104325</v>
      </c>
      <c r="K86">
        <v>0</v>
      </c>
    </row>
    <row r="87" spans="1:11" x14ac:dyDescent="0.3">
      <c r="A87" s="1" t="s">
        <v>220</v>
      </c>
      <c r="B87" s="1" t="s">
        <v>221</v>
      </c>
      <c r="C87" s="1" t="s">
        <v>222</v>
      </c>
      <c r="D87" s="1" t="s">
        <v>50</v>
      </c>
      <c r="E87" s="2">
        <v>41470</v>
      </c>
      <c r="F87" s="2">
        <v>42072</v>
      </c>
      <c r="G87">
        <v>9</v>
      </c>
      <c r="H87" s="8">
        <v>606820</v>
      </c>
      <c r="I87">
        <v>58</v>
      </c>
      <c r="J87" s="8">
        <v>67424</v>
      </c>
      <c r="K87">
        <v>0</v>
      </c>
    </row>
    <row r="88" spans="1:11" x14ac:dyDescent="0.3">
      <c r="A88" s="1" t="s">
        <v>223</v>
      </c>
      <c r="B88" s="1" t="s">
        <v>224</v>
      </c>
      <c r="C88" s="1" t="s">
        <v>225</v>
      </c>
      <c r="D88" s="1" t="s">
        <v>90</v>
      </c>
      <c r="E88" s="2">
        <v>41486</v>
      </c>
      <c r="F88" s="2">
        <v>42125</v>
      </c>
      <c r="G88">
        <v>14</v>
      </c>
      <c r="H88" s="8">
        <v>2736360</v>
      </c>
      <c r="I88">
        <v>5</v>
      </c>
      <c r="J88" s="8">
        <v>195454</v>
      </c>
      <c r="K88">
        <v>0</v>
      </c>
    </row>
    <row r="89" spans="1:11" x14ac:dyDescent="0.3">
      <c r="A89" s="1" t="s">
        <v>226</v>
      </c>
      <c r="B89" s="1" t="s">
        <v>227</v>
      </c>
      <c r="C89" s="1" t="s">
        <v>228</v>
      </c>
      <c r="D89" s="1" t="s">
        <v>219</v>
      </c>
      <c r="E89" s="2">
        <v>41850</v>
      </c>
      <c r="F89" s="2">
        <v>42101</v>
      </c>
      <c r="G89">
        <v>7</v>
      </c>
      <c r="H89" s="8">
        <v>316135</v>
      </c>
      <c r="I89">
        <v>29</v>
      </c>
      <c r="J89" s="8">
        <v>45162</v>
      </c>
      <c r="K89">
        <v>0</v>
      </c>
    </row>
    <row r="90" spans="1:11" x14ac:dyDescent="0.3">
      <c r="A90" s="1" t="s">
        <v>229</v>
      </c>
      <c r="B90" s="1" t="s">
        <v>230</v>
      </c>
      <c r="C90" s="1" t="s">
        <v>231</v>
      </c>
      <c r="D90" s="1" t="s">
        <v>232</v>
      </c>
      <c r="E90" s="2">
        <v>41613</v>
      </c>
      <c r="F90" s="2">
        <v>42117</v>
      </c>
      <c r="G90">
        <v>7</v>
      </c>
      <c r="H90" s="8">
        <v>353195</v>
      </c>
      <c r="I90">
        <v>13</v>
      </c>
      <c r="J90" s="8">
        <v>50456</v>
      </c>
      <c r="K90">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F2960-7804-47A5-9C2F-0020A76808FC}">
  <dimension ref="A1:L106"/>
  <sheetViews>
    <sheetView zoomScale="75" zoomScaleNormal="75" workbookViewId="0">
      <selection activeCell="B1" sqref="B1"/>
    </sheetView>
  </sheetViews>
  <sheetFormatPr defaultRowHeight="14.4" x14ac:dyDescent="0.3"/>
  <cols>
    <col min="1" max="1" width="30.109375" bestFit="1" customWidth="1"/>
    <col min="2" max="2" width="17" customWidth="1"/>
    <col min="3" max="3" width="16" bestFit="1" customWidth="1"/>
    <col min="4" max="4" width="3.109375" customWidth="1"/>
    <col min="5" max="5" width="30.109375" bestFit="1" customWidth="1"/>
    <col min="6" max="6" width="11.5546875" bestFit="1" customWidth="1"/>
    <col min="7" max="7" width="12.33203125" bestFit="1" customWidth="1"/>
    <col min="8" max="8" width="15.5546875" bestFit="1" customWidth="1"/>
    <col min="9" max="9" width="1.77734375" customWidth="1"/>
    <col min="10" max="10" width="10.5546875" bestFit="1" customWidth="1"/>
    <col min="11" max="11" width="12.109375" bestFit="1" customWidth="1"/>
    <col min="12" max="12" width="22" bestFit="1" customWidth="1"/>
    <col min="13" max="45" width="6" bestFit="1" customWidth="1"/>
    <col min="46" max="90" width="7" bestFit="1" customWidth="1"/>
    <col min="91" max="91" width="18.109375" bestFit="1" customWidth="1"/>
    <col min="92" max="95" width="6" bestFit="1" customWidth="1"/>
    <col min="96" max="137" width="7" bestFit="1" customWidth="1"/>
    <col min="138" max="139" width="8" bestFit="1" customWidth="1"/>
    <col min="140" max="140" width="7" bestFit="1" customWidth="1"/>
    <col min="141" max="142" width="8" bestFit="1" customWidth="1"/>
    <col min="143" max="143" width="7" bestFit="1" customWidth="1"/>
    <col min="144" max="152" width="8" bestFit="1" customWidth="1"/>
    <col min="153" max="154" width="7" bestFit="1" customWidth="1"/>
    <col min="155" max="176" width="8" bestFit="1" customWidth="1"/>
    <col min="177" max="179" width="9" bestFit="1" customWidth="1"/>
    <col min="180" max="180" width="24.109375" bestFit="1" customWidth="1"/>
    <col min="181" max="181" width="22.6640625" bestFit="1" customWidth="1"/>
  </cols>
  <sheetData>
    <row r="1" spans="1:12" x14ac:dyDescent="0.3">
      <c r="A1" s="6" t="s">
        <v>233</v>
      </c>
      <c r="B1" s="7">
        <f>SUM(customer_master_pipeline_202610!H:H)</f>
        <v>126579301</v>
      </c>
    </row>
    <row r="2" spans="1:12" x14ac:dyDescent="0.3">
      <c r="A2" s="6" t="s">
        <v>235</v>
      </c>
      <c r="B2" s="6">
        <f>SUM(customer_master_pipeline_202610!G:G)</f>
        <v>830</v>
      </c>
    </row>
    <row r="3" spans="1:12" x14ac:dyDescent="0.3">
      <c r="A3" s="6" t="s">
        <v>234</v>
      </c>
      <c r="B3" s="6">
        <f>COUNTA(_xlfn.UNIQUE(customer_master_pipeline_202610120635[company_name]))</f>
        <v>89</v>
      </c>
    </row>
    <row r="4" spans="1:12" x14ac:dyDescent="0.3">
      <c r="A4" s="6" t="s">
        <v>236</v>
      </c>
      <c r="B4" s="6">
        <f>COUNTA(_xlfn.UNIQUE(customer_master_pipeline_202610120635[city]))</f>
        <v>69</v>
      </c>
    </row>
    <row r="5" spans="1:12" x14ac:dyDescent="0.3">
      <c r="A5" s="6" t="s">
        <v>237</v>
      </c>
      <c r="B5" s="6">
        <f>COUNTA(_xlfn.UNIQUE(customer_master_pipeline_202610120635[country]))</f>
        <v>21</v>
      </c>
    </row>
    <row r="16" spans="1:12" x14ac:dyDescent="0.3">
      <c r="A16" s="3" t="s">
        <v>286</v>
      </c>
      <c r="B16" t="s">
        <v>285</v>
      </c>
      <c r="C16" s="8" t="s">
        <v>287</v>
      </c>
      <c r="E16" s="3" t="s">
        <v>286</v>
      </c>
      <c r="F16" t="s">
        <v>288</v>
      </c>
      <c r="G16" t="s">
        <v>289</v>
      </c>
      <c r="H16" s="8" t="s">
        <v>290</v>
      </c>
      <c r="J16" s="3" t="s">
        <v>291</v>
      </c>
      <c r="K16" t="s">
        <v>292</v>
      </c>
      <c r="L16" t="s">
        <v>293</v>
      </c>
    </row>
    <row r="17" spans="1:12" x14ac:dyDescent="0.3">
      <c r="A17" s="4" t="s">
        <v>273</v>
      </c>
      <c r="B17" s="1">
        <v>28</v>
      </c>
      <c r="C17" s="8">
        <v>11027731</v>
      </c>
      <c r="E17" s="4" t="s">
        <v>248</v>
      </c>
      <c r="F17" s="1">
        <v>1</v>
      </c>
      <c r="G17" s="1">
        <v>657</v>
      </c>
      <c r="H17" s="8">
        <v>10080</v>
      </c>
      <c r="J17" s="4" t="s">
        <v>30</v>
      </c>
      <c r="K17" s="1">
        <v>4</v>
      </c>
      <c r="L17" s="5">
        <v>0.25</v>
      </c>
    </row>
    <row r="18" spans="1:12" x14ac:dyDescent="0.3">
      <c r="A18" s="4" t="s">
        <v>61</v>
      </c>
      <c r="B18" s="1">
        <v>30</v>
      </c>
      <c r="C18" s="8">
        <v>10487498</v>
      </c>
      <c r="E18" s="4" t="s">
        <v>119</v>
      </c>
      <c r="F18" s="1">
        <v>1</v>
      </c>
      <c r="G18" s="1">
        <v>349</v>
      </c>
      <c r="H18" s="8">
        <v>17850</v>
      </c>
      <c r="J18" s="4" t="s">
        <v>90</v>
      </c>
      <c r="K18" s="1">
        <v>3</v>
      </c>
      <c r="L18" s="5">
        <v>0.1875</v>
      </c>
    </row>
    <row r="19" spans="1:12" x14ac:dyDescent="0.3">
      <c r="A19" s="4" t="s">
        <v>276</v>
      </c>
      <c r="B19" s="1">
        <v>31</v>
      </c>
      <c r="C19" s="8">
        <v>10436195</v>
      </c>
      <c r="E19" s="4" t="s">
        <v>100</v>
      </c>
      <c r="F19" s="1">
        <v>1</v>
      </c>
      <c r="G19" s="1">
        <v>240</v>
      </c>
      <c r="H19" s="8">
        <v>61264</v>
      </c>
      <c r="J19" s="4" t="s">
        <v>17</v>
      </c>
      <c r="K19" s="1">
        <v>2</v>
      </c>
      <c r="L19" s="5">
        <v>0.125</v>
      </c>
    </row>
    <row r="20" spans="1:12" x14ac:dyDescent="0.3">
      <c r="A20" s="4" t="s">
        <v>165</v>
      </c>
      <c r="B20" s="1">
        <v>18</v>
      </c>
      <c r="C20" s="8">
        <v>5109780</v>
      </c>
      <c r="E20" s="4" t="s">
        <v>267</v>
      </c>
      <c r="F20" s="1">
        <v>1</v>
      </c>
      <c r="G20" s="1">
        <v>188</v>
      </c>
      <c r="H20" s="8">
        <v>222094</v>
      </c>
      <c r="J20" s="4" t="s">
        <v>50</v>
      </c>
      <c r="K20" s="1">
        <v>2</v>
      </c>
      <c r="L20" s="5">
        <v>0.125</v>
      </c>
    </row>
    <row r="21" spans="1:12" x14ac:dyDescent="0.3">
      <c r="A21" s="4" t="s">
        <v>103</v>
      </c>
      <c r="B21" s="1">
        <v>19</v>
      </c>
      <c r="C21" s="8">
        <v>4997991</v>
      </c>
      <c r="E21" s="4" t="s">
        <v>65</v>
      </c>
      <c r="F21" s="1">
        <v>1</v>
      </c>
      <c r="G21" s="1">
        <v>187</v>
      </c>
      <c r="H21" s="8">
        <v>58679</v>
      </c>
      <c r="J21" s="4" t="s">
        <v>21</v>
      </c>
      <c r="K21" s="1">
        <v>2</v>
      </c>
      <c r="L21" s="5">
        <v>0.125</v>
      </c>
    </row>
    <row r="22" spans="1:12" x14ac:dyDescent="0.3">
      <c r="A22" s="4" t="s">
        <v>95</v>
      </c>
      <c r="B22" s="1">
        <v>14</v>
      </c>
      <c r="C22" s="8">
        <v>3284137</v>
      </c>
      <c r="E22" s="4" t="s">
        <v>284</v>
      </c>
      <c r="F22" s="1">
        <v>1</v>
      </c>
      <c r="G22" s="1">
        <v>175</v>
      </c>
      <c r="H22" s="8">
        <v>29600</v>
      </c>
      <c r="J22" s="4" t="s">
        <v>39</v>
      </c>
      <c r="K22" s="1">
        <v>2</v>
      </c>
      <c r="L22" s="5">
        <v>0.125</v>
      </c>
    </row>
    <row r="23" spans="1:12" x14ac:dyDescent="0.3">
      <c r="A23" s="4" t="s">
        <v>261</v>
      </c>
      <c r="B23" s="1">
        <v>14</v>
      </c>
      <c r="C23" s="8">
        <v>3090838</v>
      </c>
      <c r="E23" s="4" t="s">
        <v>259</v>
      </c>
      <c r="F23" s="1">
        <v>1</v>
      </c>
      <c r="G23" s="1">
        <v>139</v>
      </c>
      <c r="H23" s="8">
        <v>74435</v>
      </c>
      <c r="J23" s="4" t="s">
        <v>93</v>
      </c>
      <c r="K23" s="1">
        <v>1</v>
      </c>
      <c r="L23" s="5">
        <v>6.25E-2</v>
      </c>
    </row>
    <row r="24" spans="1:12" x14ac:dyDescent="0.3">
      <c r="A24" s="4" t="s">
        <v>253</v>
      </c>
      <c r="B24" s="1">
        <v>19</v>
      </c>
      <c r="C24" s="8">
        <v>2956756</v>
      </c>
      <c r="E24" s="4" t="s">
        <v>252</v>
      </c>
      <c r="F24" s="1">
        <v>1</v>
      </c>
      <c r="G24" s="1">
        <v>135</v>
      </c>
      <c r="H24" s="8">
        <v>233338</v>
      </c>
      <c r="J24" s="4" t="s">
        <v>79</v>
      </c>
      <c r="K24" s="1">
        <v>0</v>
      </c>
      <c r="L24" s="5">
        <v>0</v>
      </c>
    </row>
    <row r="25" spans="1:12" x14ac:dyDescent="0.3">
      <c r="A25" s="4" t="s">
        <v>267</v>
      </c>
      <c r="B25" s="1">
        <v>13</v>
      </c>
      <c r="C25" s="8">
        <v>2887219</v>
      </c>
      <c r="E25" s="4" t="s">
        <v>116</v>
      </c>
      <c r="F25" s="1">
        <v>1</v>
      </c>
      <c r="G25" s="1">
        <v>125</v>
      </c>
      <c r="H25" s="8">
        <v>17417</v>
      </c>
      <c r="J25" s="4" t="s">
        <v>219</v>
      </c>
      <c r="K25" s="1">
        <v>0</v>
      </c>
      <c r="L25" s="5">
        <v>0</v>
      </c>
    </row>
    <row r="26" spans="1:12" x14ac:dyDescent="0.3">
      <c r="A26" s="4" t="s">
        <v>224</v>
      </c>
      <c r="B26" s="1">
        <v>14</v>
      </c>
      <c r="C26" s="8">
        <v>2736360</v>
      </c>
      <c r="E26" s="4" t="s">
        <v>282</v>
      </c>
      <c r="F26" s="1">
        <v>1</v>
      </c>
      <c r="G26" s="1">
        <v>118</v>
      </c>
      <c r="H26" s="8">
        <v>52373</v>
      </c>
      <c r="J26" s="4" t="s">
        <v>24</v>
      </c>
      <c r="K26" s="1">
        <v>0</v>
      </c>
      <c r="L26" s="5">
        <v>0</v>
      </c>
    </row>
    <row r="27" spans="1:12" x14ac:dyDescent="0.3">
      <c r="A27" s="4" t="s">
        <v>71</v>
      </c>
      <c r="B27" s="1">
        <v>15</v>
      </c>
      <c r="C27" s="8">
        <v>2665656</v>
      </c>
      <c r="E27" s="4" t="s">
        <v>243</v>
      </c>
      <c r="F27" s="1">
        <v>1</v>
      </c>
      <c r="G27" s="1">
        <v>114</v>
      </c>
      <c r="H27" s="8">
        <v>168492</v>
      </c>
      <c r="J27" s="4" t="s">
        <v>14</v>
      </c>
      <c r="K27" s="1">
        <v>0</v>
      </c>
      <c r="L27" s="5">
        <v>0</v>
      </c>
    </row>
    <row r="28" spans="1:12" x14ac:dyDescent="0.3">
      <c r="A28" s="4" t="s">
        <v>160</v>
      </c>
      <c r="B28" s="1">
        <v>13</v>
      </c>
      <c r="C28" s="8">
        <v>2571750</v>
      </c>
      <c r="E28" s="4" t="s">
        <v>281</v>
      </c>
      <c r="F28" s="1">
        <v>1</v>
      </c>
      <c r="G28" s="1">
        <v>107</v>
      </c>
      <c r="H28" s="8">
        <v>114178</v>
      </c>
      <c r="J28" s="4" t="s">
        <v>232</v>
      </c>
      <c r="K28" s="1">
        <v>0</v>
      </c>
      <c r="L28" s="5">
        <v>0</v>
      </c>
    </row>
    <row r="29" spans="1:12" x14ac:dyDescent="0.3">
      <c r="A29" s="4" t="s">
        <v>242</v>
      </c>
      <c r="B29" s="1">
        <v>18</v>
      </c>
      <c r="C29" s="8">
        <v>2492758</v>
      </c>
      <c r="E29" s="4" t="s">
        <v>283</v>
      </c>
      <c r="F29" s="1">
        <v>1</v>
      </c>
      <c r="G29" s="1">
        <v>103</v>
      </c>
      <c r="H29" s="8">
        <v>91824</v>
      </c>
      <c r="J29" s="4" t="s">
        <v>139</v>
      </c>
      <c r="K29" s="1">
        <v>0</v>
      </c>
      <c r="L29" s="5">
        <v>0</v>
      </c>
    </row>
    <row r="30" spans="1:12" x14ac:dyDescent="0.3">
      <c r="A30" s="4" t="s">
        <v>279</v>
      </c>
      <c r="B30" s="1">
        <v>12</v>
      </c>
      <c r="C30" s="8">
        <v>2408878</v>
      </c>
      <c r="E30" s="4" t="s">
        <v>52</v>
      </c>
      <c r="F30" s="1">
        <v>1</v>
      </c>
      <c r="G30" s="1">
        <v>103</v>
      </c>
      <c r="H30" s="8">
        <v>57303</v>
      </c>
      <c r="J30" s="4" t="s">
        <v>33</v>
      </c>
      <c r="K30" s="1">
        <v>0</v>
      </c>
      <c r="L30" s="5">
        <v>0</v>
      </c>
    </row>
    <row r="31" spans="1:12" x14ac:dyDescent="0.3">
      <c r="A31" s="4" t="s">
        <v>271</v>
      </c>
      <c r="B31" s="1">
        <v>10</v>
      </c>
      <c r="C31" s="8">
        <v>2312886</v>
      </c>
      <c r="E31" s="4" t="s">
        <v>240</v>
      </c>
      <c r="F31" s="1">
        <v>1</v>
      </c>
      <c r="G31" s="1">
        <v>98</v>
      </c>
      <c r="H31" s="8">
        <v>100343</v>
      </c>
      <c r="J31" s="4" t="s">
        <v>43</v>
      </c>
      <c r="K31" s="1">
        <v>0</v>
      </c>
      <c r="L31" s="5">
        <v>0</v>
      </c>
    </row>
    <row r="32" spans="1:12" x14ac:dyDescent="0.3">
      <c r="A32" s="4" t="s">
        <v>260</v>
      </c>
      <c r="B32" s="1">
        <v>18</v>
      </c>
      <c r="C32" s="8">
        <v>2276876</v>
      </c>
      <c r="E32" s="4" t="s">
        <v>183</v>
      </c>
      <c r="F32" s="1">
        <v>1</v>
      </c>
      <c r="G32" s="1">
        <v>91</v>
      </c>
      <c r="H32" s="8">
        <v>180170</v>
      </c>
      <c r="J32" s="4" t="s">
        <v>47</v>
      </c>
      <c r="K32" s="1">
        <v>0</v>
      </c>
      <c r="L32" s="5">
        <v>0</v>
      </c>
    </row>
    <row r="33" spans="1:12" x14ac:dyDescent="0.3">
      <c r="A33" s="4" t="s">
        <v>245</v>
      </c>
      <c r="B33" s="1">
        <v>17</v>
      </c>
      <c r="C33" s="8">
        <v>2196325</v>
      </c>
      <c r="E33" s="4" t="s">
        <v>264</v>
      </c>
      <c r="F33" s="1">
        <v>0</v>
      </c>
      <c r="G33" s="1">
        <v>83</v>
      </c>
      <c r="H33" s="8">
        <v>76912</v>
      </c>
      <c r="J33" s="4" t="s">
        <v>186</v>
      </c>
      <c r="K33" s="1">
        <v>0</v>
      </c>
      <c r="L33" s="5">
        <v>0</v>
      </c>
    </row>
    <row r="34" spans="1:12" x14ac:dyDescent="0.3">
      <c r="A34" s="4" t="s">
        <v>37</v>
      </c>
      <c r="B34" s="1">
        <v>14</v>
      </c>
      <c r="C34" s="8">
        <v>2080160</v>
      </c>
      <c r="E34" s="4" t="s">
        <v>251</v>
      </c>
      <c r="F34" s="1">
        <v>0</v>
      </c>
      <c r="G34" s="1">
        <v>79</v>
      </c>
      <c r="H34" s="8">
        <v>40398</v>
      </c>
      <c r="J34" s="4" t="s">
        <v>63</v>
      </c>
      <c r="K34" s="1">
        <v>0</v>
      </c>
      <c r="L34" s="5">
        <v>0</v>
      </c>
    </row>
    <row r="35" spans="1:12" x14ac:dyDescent="0.3">
      <c r="A35" s="4" t="s">
        <v>173</v>
      </c>
      <c r="B35" s="1">
        <v>10</v>
      </c>
      <c r="C35" s="8">
        <v>1934378</v>
      </c>
      <c r="E35" s="4" t="s">
        <v>239</v>
      </c>
      <c r="F35" s="1">
        <v>0</v>
      </c>
      <c r="G35" s="1">
        <v>63</v>
      </c>
      <c r="H35" s="8">
        <v>35074</v>
      </c>
      <c r="J35" s="4" t="s">
        <v>179</v>
      </c>
      <c r="K35" s="1">
        <v>0</v>
      </c>
      <c r="L35" s="5">
        <v>0</v>
      </c>
    </row>
    <row r="36" spans="1:12" x14ac:dyDescent="0.3">
      <c r="A36" s="4" t="s">
        <v>122</v>
      </c>
      <c r="B36" s="1">
        <v>15</v>
      </c>
      <c r="C36" s="8">
        <v>1926141</v>
      </c>
      <c r="E36" s="4" t="s">
        <v>242</v>
      </c>
      <c r="F36" s="1">
        <v>0</v>
      </c>
      <c r="G36" s="1">
        <v>63</v>
      </c>
      <c r="H36" s="8">
        <v>138487</v>
      </c>
      <c r="J36" s="4" t="s">
        <v>105</v>
      </c>
      <c r="K36" s="1">
        <v>0</v>
      </c>
      <c r="L36" s="5">
        <v>0</v>
      </c>
    </row>
    <row r="37" spans="1:12" x14ac:dyDescent="0.3">
      <c r="A37" s="4" t="s">
        <v>243</v>
      </c>
      <c r="B37" s="1">
        <v>11</v>
      </c>
      <c r="C37" s="8">
        <v>1853408</v>
      </c>
      <c r="E37" s="4" t="s">
        <v>257</v>
      </c>
      <c r="F37" s="1">
        <v>0</v>
      </c>
      <c r="G37" s="1">
        <v>62</v>
      </c>
      <c r="H37" s="8">
        <v>16734</v>
      </c>
      <c r="J37" s="4" t="s">
        <v>76</v>
      </c>
      <c r="K37" s="1">
        <v>0</v>
      </c>
      <c r="L37" s="5">
        <v>0</v>
      </c>
    </row>
    <row r="38" spans="1:12" x14ac:dyDescent="0.3">
      <c r="A38" s="4" t="s">
        <v>88</v>
      </c>
      <c r="B38" s="1">
        <v>11</v>
      </c>
      <c r="C38" s="8">
        <v>1850745</v>
      </c>
      <c r="E38" s="4" t="s">
        <v>107</v>
      </c>
      <c r="F38" s="1">
        <v>0</v>
      </c>
      <c r="G38" s="1">
        <v>61</v>
      </c>
      <c r="H38" s="8">
        <v>61463</v>
      </c>
      <c r="J38" s="4" t="s">
        <v>238</v>
      </c>
      <c r="K38" s="1">
        <v>16</v>
      </c>
      <c r="L38" s="5">
        <v>1</v>
      </c>
    </row>
    <row r="39" spans="1:12" x14ac:dyDescent="0.3">
      <c r="A39" s="4" t="s">
        <v>277</v>
      </c>
      <c r="B39" s="1">
        <v>7</v>
      </c>
      <c r="C39" s="8">
        <v>1681710</v>
      </c>
      <c r="E39" s="4" t="s">
        <v>221</v>
      </c>
      <c r="F39" s="1">
        <v>0</v>
      </c>
      <c r="G39" s="1">
        <v>58</v>
      </c>
      <c r="H39" s="8">
        <v>67424</v>
      </c>
    </row>
    <row r="40" spans="1:12" x14ac:dyDescent="0.3">
      <c r="A40" s="4" t="s">
        <v>266</v>
      </c>
      <c r="B40" s="1">
        <v>12</v>
      </c>
      <c r="C40" s="8">
        <v>1647656</v>
      </c>
      <c r="E40" s="4" t="s">
        <v>143</v>
      </c>
      <c r="F40" s="1">
        <v>0</v>
      </c>
      <c r="G40" s="1">
        <v>55</v>
      </c>
      <c r="H40" s="8">
        <v>100844</v>
      </c>
    </row>
    <row r="41" spans="1:12" x14ac:dyDescent="0.3">
      <c r="A41" s="4" t="s">
        <v>183</v>
      </c>
      <c r="B41" s="1">
        <v>9</v>
      </c>
      <c r="C41" s="8">
        <v>1621533</v>
      </c>
      <c r="E41" s="4" t="s">
        <v>134</v>
      </c>
      <c r="F41" s="1">
        <v>0</v>
      </c>
      <c r="G41" s="1">
        <v>51</v>
      </c>
      <c r="H41" s="8">
        <v>71762</v>
      </c>
    </row>
    <row r="42" spans="1:12" x14ac:dyDescent="0.3">
      <c r="A42" s="4" t="s">
        <v>265</v>
      </c>
      <c r="B42" s="1">
        <v>14</v>
      </c>
      <c r="C42" s="8">
        <v>1607660</v>
      </c>
      <c r="E42" s="4" t="s">
        <v>256</v>
      </c>
      <c r="F42" s="1">
        <v>0</v>
      </c>
      <c r="G42" s="1">
        <v>48</v>
      </c>
      <c r="H42" s="8">
        <v>80343</v>
      </c>
    </row>
    <row r="43" spans="1:12" x14ac:dyDescent="0.3">
      <c r="A43" s="4" t="s">
        <v>207</v>
      </c>
      <c r="B43" s="1">
        <v>11</v>
      </c>
      <c r="C43" s="8">
        <v>1584392</v>
      </c>
      <c r="E43" s="4" t="s">
        <v>280</v>
      </c>
      <c r="F43" s="1">
        <v>0</v>
      </c>
      <c r="G43" s="1">
        <v>44</v>
      </c>
      <c r="H43" s="8">
        <v>79636</v>
      </c>
    </row>
    <row r="44" spans="1:12" x14ac:dyDescent="0.3">
      <c r="A44" s="4" t="s">
        <v>217</v>
      </c>
      <c r="B44" s="1">
        <v>15</v>
      </c>
      <c r="C44" s="8">
        <v>1564870</v>
      </c>
      <c r="E44" s="4" t="s">
        <v>254</v>
      </c>
      <c r="F44" s="1">
        <v>0</v>
      </c>
      <c r="G44" s="1">
        <v>43</v>
      </c>
      <c r="H44" s="8">
        <v>105739</v>
      </c>
    </row>
    <row r="45" spans="1:12" x14ac:dyDescent="0.3">
      <c r="A45" s="4" t="s">
        <v>149</v>
      </c>
      <c r="B45" s="1">
        <v>10</v>
      </c>
      <c r="C45" s="8">
        <v>1517746</v>
      </c>
      <c r="E45" s="4" t="s">
        <v>244</v>
      </c>
      <c r="F45" s="1">
        <v>0</v>
      </c>
      <c r="G45" s="1">
        <v>43</v>
      </c>
      <c r="H45" s="8">
        <v>141095</v>
      </c>
    </row>
    <row r="46" spans="1:12" x14ac:dyDescent="0.3">
      <c r="A46" s="4" t="s">
        <v>59</v>
      </c>
      <c r="B46" s="1">
        <v>8</v>
      </c>
      <c r="C46" s="8">
        <v>1476103</v>
      </c>
      <c r="E46" s="4" t="s">
        <v>262</v>
      </c>
      <c r="F46" s="1">
        <v>0</v>
      </c>
      <c r="G46" s="1">
        <v>43</v>
      </c>
      <c r="H46" s="8">
        <v>49801</v>
      </c>
    </row>
    <row r="47" spans="1:12" x14ac:dyDescent="0.3">
      <c r="A47" s="4" t="s">
        <v>241</v>
      </c>
      <c r="B47" s="1">
        <v>13</v>
      </c>
      <c r="C47" s="8">
        <v>1339065</v>
      </c>
      <c r="E47" s="4" t="s">
        <v>190</v>
      </c>
      <c r="F47" s="1">
        <v>0</v>
      </c>
      <c r="G47" s="1">
        <v>42</v>
      </c>
      <c r="H47" s="8">
        <v>127129</v>
      </c>
    </row>
    <row r="48" spans="1:12" x14ac:dyDescent="0.3">
      <c r="A48" s="4" t="s">
        <v>269</v>
      </c>
      <c r="B48" s="1">
        <v>10</v>
      </c>
      <c r="C48" s="8">
        <v>1249620</v>
      </c>
      <c r="E48" s="4" t="s">
        <v>268</v>
      </c>
      <c r="F48" s="1">
        <v>0</v>
      </c>
      <c r="G48" s="1">
        <v>37</v>
      </c>
      <c r="H48" s="8">
        <v>69204</v>
      </c>
    </row>
    <row r="49" spans="1:8" x14ac:dyDescent="0.3">
      <c r="A49" s="4" t="s">
        <v>171</v>
      </c>
      <c r="B49" s="1">
        <v>11</v>
      </c>
      <c r="C49" s="8">
        <v>1245080</v>
      </c>
      <c r="E49" s="4" t="s">
        <v>272</v>
      </c>
      <c r="F49" s="1">
        <v>0</v>
      </c>
      <c r="G49" s="1">
        <v>36</v>
      </c>
      <c r="H49" s="8">
        <v>74053</v>
      </c>
    </row>
    <row r="50" spans="1:8" x14ac:dyDescent="0.3">
      <c r="A50" s="4" t="s">
        <v>249</v>
      </c>
      <c r="B50" s="1">
        <v>8</v>
      </c>
      <c r="C50" s="8">
        <v>1234888</v>
      </c>
      <c r="E50" s="4" t="s">
        <v>195</v>
      </c>
      <c r="F50" s="1">
        <v>0</v>
      </c>
      <c r="G50" s="1">
        <v>35</v>
      </c>
      <c r="H50" s="8">
        <v>84025</v>
      </c>
    </row>
    <row r="51" spans="1:8" x14ac:dyDescent="0.3">
      <c r="A51" s="4" t="s">
        <v>252</v>
      </c>
      <c r="B51" s="1">
        <v>5</v>
      </c>
      <c r="C51" s="8">
        <v>1166690</v>
      </c>
      <c r="E51" s="4" t="s">
        <v>207</v>
      </c>
      <c r="F51" s="1">
        <v>0</v>
      </c>
      <c r="G51" s="1">
        <v>34</v>
      </c>
      <c r="H51" s="8">
        <v>144036</v>
      </c>
    </row>
    <row r="52" spans="1:8" x14ac:dyDescent="0.3">
      <c r="A52" s="4" t="s">
        <v>258</v>
      </c>
      <c r="B52" s="1">
        <v>10</v>
      </c>
      <c r="C52" s="8">
        <v>1144636</v>
      </c>
      <c r="E52" s="4" t="s">
        <v>197</v>
      </c>
      <c r="F52" s="1">
        <v>0</v>
      </c>
      <c r="G52" s="1">
        <v>30</v>
      </c>
      <c r="H52" s="8">
        <v>64908</v>
      </c>
    </row>
    <row r="53" spans="1:8" x14ac:dyDescent="0.3">
      <c r="A53" s="4" t="s">
        <v>190</v>
      </c>
      <c r="B53" s="1">
        <v>9</v>
      </c>
      <c r="C53" s="8">
        <v>1144163</v>
      </c>
      <c r="E53" s="4" t="s">
        <v>137</v>
      </c>
      <c r="F53" s="1">
        <v>0</v>
      </c>
      <c r="G53" s="1">
        <v>29</v>
      </c>
      <c r="H53" s="8">
        <v>139087</v>
      </c>
    </row>
    <row r="54" spans="1:8" x14ac:dyDescent="0.3">
      <c r="A54" s="4" t="s">
        <v>202</v>
      </c>
      <c r="B54" s="1">
        <v>10</v>
      </c>
      <c r="C54" s="8">
        <v>1081215</v>
      </c>
      <c r="E54" s="4" t="s">
        <v>227</v>
      </c>
      <c r="F54" s="1">
        <v>0</v>
      </c>
      <c r="G54" s="1">
        <v>29</v>
      </c>
      <c r="H54" s="8">
        <v>45162</v>
      </c>
    </row>
    <row r="55" spans="1:8" x14ac:dyDescent="0.3">
      <c r="A55" s="4" t="s">
        <v>137</v>
      </c>
      <c r="B55" s="1">
        <v>7</v>
      </c>
      <c r="C55" s="8">
        <v>973608</v>
      </c>
      <c r="E55" s="4" t="s">
        <v>157</v>
      </c>
      <c r="F55" s="1">
        <v>0</v>
      </c>
      <c r="G55" s="1">
        <v>28</v>
      </c>
      <c r="H55" s="8">
        <v>100899</v>
      </c>
    </row>
    <row r="56" spans="1:8" x14ac:dyDescent="0.3">
      <c r="A56" s="4" t="s">
        <v>214</v>
      </c>
      <c r="B56" s="1">
        <v>10</v>
      </c>
      <c r="C56" s="8">
        <v>958842</v>
      </c>
      <c r="E56" s="4" t="s">
        <v>275</v>
      </c>
      <c r="F56" s="1">
        <v>0</v>
      </c>
      <c r="G56" s="1">
        <v>27</v>
      </c>
      <c r="H56" s="8">
        <v>29346</v>
      </c>
    </row>
    <row r="57" spans="1:8" x14ac:dyDescent="0.3">
      <c r="A57" s="4" t="s">
        <v>263</v>
      </c>
      <c r="B57" s="1">
        <v>14</v>
      </c>
      <c r="C57" s="8">
        <v>932820</v>
      </c>
      <c r="E57" s="4" t="s">
        <v>12</v>
      </c>
      <c r="F57" s="1">
        <v>0</v>
      </c>
      <c r="G57" s="1">
        <v>27</v>
      </c>
      <c r="H57" s="8">
        <v>71217</v>
      </c>
    </row>
    <row r="58" spans="1:8" x14ac:dyDescent="0.3">
      <c r="A58" s="4" t="s">
        <v>283</v>
      </c>
      <c r="B58" s="1">
        <v>10</v>
      </c>
      <c r="C58" s="8">
        <v>918243</v>
      </c>
      <c r="E58" s="4" t="s">
        <v>71</v>
      </c>
      <c r="F58" s="1">
        <v>0</v>
      </c>
      <c r="G58" s="1">
        <v>27</v>
      </c>
      <c r="H58" s="8">
        <v>177710</v>
      </c>
    </row>
    <row r="59" spans="1:8" x14ac:dyDescent="0.3">
      <c r="A59" s="4" t="s">
        <v>85</v>
      </c>
      <c r="B59" s="1">
        <v>9</v>
      </c>
      <c r="C59" s="8">
        <v>841413</v>
      </c>
      <c r="E59" s="4" t="s">
        <v>241</v>
      </c>
      <c r="F59" s="1">
        <v>0</v>
      </c>
      <c r="G59" s="1">
        <v>26</v>
      </c>
      <c r="H59" s="8">
        <v>103005</v>
      </c>
    </row>
    <row r="60" spans="1:8" x14ac:dyDescent="0.3">
      <c r="A60" s="4" t="s">
        <v>134</v>
      </c>
      <c r="B60" s="1">
        <v>10</v>
      </c>
      <c r="C60" s="8">
        <v>717621</v>
      </c>
      <c r="E60" s="4" t="s">
        <v>177</v>
      </c>
      <c r="F60" s="1">
        <v>0</v>
      </c>
      <c r="G60" s="1">
        <v>26</v>
      </c>
      <c r="H60" s="8">
        <v>95586</v>
      </c>
    </row>
    <row r="61" spans="1:8" x14ac:dyDescent="0.3">
      <c r="A61" s="4" t="s">
        <v>168</v>
      </c>
      <c r="B61" s="1">
        <v>12</v>
      </c>
      <c r="C61" s="8">
        <v>704824</v>
      </c>
      <c r="E61" s="4" t="s">
        <v>274</v>
      </c>
      <c r="F61" s="1">
        <v>0</v>
      </c>
      <c r="G61" s="1">
        <v>23</v>
      </c>
      <c r="H61" s="8">
        <v>56882</v>
      </c>
    </row>
    <row r="62" spans="1:8" x14ac:dyDescent="0.3">
      <c r="A62" s="4" t="s">
        <v>240</v>
      </c>
      <c r="B62" s="1">
        <v>7</v>
      </c>
      <c r="C62" s="8">
        <v>702398</v>
      </c>
      <c r="E62" s="4" t="s">
        <v>131</v>
      </c>
      <c r="F62" s="1">
        <v>0</v>
      </c>
      <c r="G62" s="1">
        <v>23</v>
      </c>
      <c r="H62" s="8">
        <v>53233</v>
      </c>
    </row>
    <row r="63" spans="1:8" x14ac:dyDescent="0.3">
      <c r="A63" s="4" t="s">
        <v>281</v>
      </c>
      <c r="B63" s="1">
        <v>6</v>
      </c>
      <c r="C63" s="8">
        <v>685066</v>
      </c>
      <c r="E63" s="4" t="s">
        <v>273</v>
      </c>
      <c r="F63" s="1">
        <v>0</v>
      </c>
      <c r="G63" s="1">
        <v>22</v>
      </c>
      <c r="H63" s="8">
        <v>393848</v>
      </c>
    </row>
    <row r="64" spans="1:8" x14ac:dyDescent="0.3">
      <c r="A64" s="4" t="s">
        <v>272</v>
      </c>
      <c r="B64" s="1">
        <v>9</v>
      </c>
      <c r="C64" s="8">
        <v>666481</v>
      </c>
      <c r="E64" s="4" t="s">
        <v>246</v>
      </c>
      <c r="F64" s="1">
        <v>0</v>
      </c>
      <c r="G64" s="1">
        <v>22</v>
      </c>
      <c r="H64" s="8">
        <v>60899</v>
      </c>
    </row>
    <row r="65" spans="1:8" x14ac:dyDescent="0.3">
      <c r="A65" s="4" t="s">
        <v>256</v>
      </c>
      <c r="B65" s="1">
        <v>8</v>
      </c>
      <c r="C65" s="8">
        <v>642742</v>
      </c>
      <c r="E65" s="4" t="s">
        <v>269</v>
      </c>
      <c r="F65" s="1">
        <v>0</v>
      </c>
      <c r="G65" s="1">
        <v>22</v>
      </c>
      <c r="H65" s="8">
        <v>124962</v>
      </c>
    </row>
    <row r="66" spans="1:8" x14ac:dyDescent="0.3">
      <c r="A66" s="4" t="s">
        <v>107</v>
      </c>
      <c r="B66" s="1">
        <v>10</v>
      </c>
      <c r="C66" s="8">
        <v>614630</v>
      </c>
      <c r="E66" s="4" t="s">
        <v>217</v>
      </c>
      <c r="F66" s="1">
        <v>0</v>
      </c>
      <c r="G66" s="1">
        <v>21</v>
      </c>
      <c r="H66" s="8">
        <v>104325</v>
      </c>
    </row>
    <row r="67" spans="1:8" x14ac:dyDescent="0.3">
      <c r="A67" s="4" t="s">
        <v>246</v>
      </c>
      <c r="B67" s="1">
        <v>10</v>
      </c>
      <c r="C67" s="8">
        <v>608990</v>
      </c>
      <c r="E67" s="4" t="s">
        <v>261</v>
      </c>
      <c r="F67" s="1">
        <v>0</v>
      </c>
      <c r="G67" s="1">
        <v>20</v>
      </c>
      <c r="H67" s="8">
        <v>220774</v>
      </c>
    </row>
    <row r="68" spans="1:8" x14ac:dyDescent="0.3">
      <c r="A68" s="4" t="s">
        <v>221</v>
      </c>
      <c r="B68" s="1">
        <v>9</v>
      </c>
      <c r="C68" s="8">
        <v>606820</v>
      </c>
      <c r="E68" s="4" t="s">
        <v>149</v>
      </c>
      <c r="F68" s="1">
        <v>0</v>
      </c>
      <c r="G68" s="1">
        <v>16</v>
      </c>
      <c r="H68" s="8">
        <v>151775</v>
      </c>
    </row>
    <row r="69" spans="1:8" x14ac:dyDescent="0.3">
      <c r="A69" s="4" t="s">
        <v>177</v>
      </c>
      <c r="B69" s="1">
        <v>6</v>
      </c>
      <c r="C69" s="8">
        <v>573515</v>
      </c>
      <c r="E69" s="4" t="s">
        <v>266</v>
      </c>
      <c r="F69" s="1">
        <v>0</v>
      </c>
      <c r="G69" s="1">
        <v>15</v>
      </c>
      <c r="H69" s="8">
        <v>137305</v>
      </c>
    </row>
    <row r="70" spans="1:8" x14ac:dyDescent="0.3">
      <c r="A70" s="4" t="s">
        <v>157</v>
      </c>
      <c r="B70" s="1">
        <v>5</v>
      </c>
      <c r="C70" s="8">
        <v>504494</v>
      </c>
      <c r="E70" s="4" t="s">
        <v>258</v>
      </c>
      <c r="F70" s="1">
        <v>0</v>
      </c>
      <c r="G70" s="1">
        <v>15</v>
      </c>
      <c r="H70" s="8">
        <v>114464</v>
      </c>
    </row>
    <row r="71" spans="1:8" x14ac:dyDescent="0.3">
      <c r="A71" s="4" t="s">
        <v>143</v>
      </c>
      <c r="B71" s="1">
        <v>5</v>
      </c>
      <c r="C71" s="8">
        <v>504220</v>
      </c>
      <c r="E71" s="4" t="s">
        <v>279</v>
      </c>
      <c r="F71" s="1">
        <v>0</v>
      </c>
      <c r="G71" s="1">
        <v>15</v>
      </c>
      <c r="H71" s="8">
        <v>200740</v>
      </c>
    </row>
    <row r="72" spans="1:8" x14ac:dyDescent="0.3">
      <c r="A72" s="4" t="s">
        <v>280</v>
      </c>
      <c r="B72" s="1">
        <v>6</v>
      </c>
      <c r="C72" s="8">
        <v>477814</v>
      </c>
      <c r="E72" s="4" t="s">
        <v>249</v>
      </c>
      <c r="F72" s="1">
        <v>0</v>
      </c>
      <c r="G72" s="1">
        <v>14</v>
      </c>
      <c r="H72" s="8">
        <v>154361</v>
      </c>
    </row>
    <row r="73" spans="1:8" x14ac:dyDescent="0.3">
      <c r="A73" s="4" t="s">
        <v>12</v>
      </c>
      <c r="B73" s="1">
        <v>6</v>
      </c>
      <c r="C73" s="8">
        <v>427300</v>
      </c>
      <c r="E73" s="4" t="s">
        <v>250</v>
      </c>
      <c r="F73" s="1">
        <v>0</v>
      </c>
      <c r="G73" s="1">
        <v>14</v>
      </c>
      <c r="H73" s="8">
        <v>76215</v>
      </c>
    </row>
    <row r="74" spans="1:8" x14ac:dyDescent="0.3">
      <c r="A74" s="4" t="s">
        <v>131</v>
      </c>
      <c r="B74" s="1">
        <v>8</v>
      </c>
      <c r="C74" s="8">
        <v>425860</v>
      </c>
      <c r="E74" s="4" t="s">
        <v>278</v>
      </c>
      <c r="F74" s="1">
        <v>0</v>
      </c>
      <c r="G74" s="1">
        <v>14</v>
      </c>
      <c r="H74" s="8">
        <v>60584</v>
      </c>
    </row>
    <row r="75" spans="1:8" x14ac:dyDescent="0.3">
      <c r="A75" s="4" t="s">
        <v>270</v>
      </c>
      <c r="B75" s="1">
        <v>6</v>
      </c>
      <c r="C75" s="8">
        <v>424220</v>
      </c>
      <c r="E75" s="4" t="s">
        <v>214</v>
      </c>
      <c r="F75" s="1">
        <v>0</v>
      </c>
      <c r="G75" s="1">
        <v>13</v>
      </c>
      <c r="H75" s="8">
        <v>95884</v>
      </c>
    </row>
    <row r="76" spans="1:8" x14ac:dyDescent="0.3">
      <c r="A76" s="4" t="s">
        <v>244</v>
      </c>
      <c r="B76" s="1">
        <v>3</v>
      </c>
      <c r="C76" s="8">
        <v>423285</v>
      </c>
      <c r="E76" s="4" t="s">
        <v>230</v>
      </c>
      <c r="F76" s="1">
        <v>0</v>
      </c>
      <c r="G76" s="1">
        <v>13</v>
      </c>
      <c r="H76" s="8">
        <v>50456</v>
      </c>
    </row>
    <row r="77" spans="1:8" x14ac:dyDescent="0.3">
      <c r="A77" s="4" t="s">
        <v>65</v>
      </c>
      <c r="B77" s="1">
        <v>7</v>
      </c>
      <c r="C77" s="8">
        <v>410755</v>
      </c>
      <c r="E77" s="4" t="s">
        <v>37</v>
      </c>
      <c r="F77" s="1">
        <v>0</v>
      </c>
      <c r="G77" s="1">
        <v>12</v>
      </c>
      <c r="H77" s="8">
        <v>148583</v>
      </c>
    </row>
    <row r="78" spans="1:8" x14ac:dyDescent="0.3">
      <c r="A78" s="4" t="s">
        <v>250</v>
      </c>
      <c r="B78" s="1">
        <v>5</v>
      </c>
      <c r="C78" s="8">
        <v>381075</v>
      </c>
      <c r="E78" s="4" t="s">
        <v>85</v>
      </c>
      <c r="F78" s="1">
        <v>0</v>
      </c>
      <c r="G78" s="1">
        <v>12</v>
      </c>
      <c r="H78" s="8">
        <v>93490</v>
      </c>
    </row>
    <row r="79" spans="1:8" x14ac:dyDescent="0.3">
      <c r="A79" s="4" t="s">
        <v>54</v>
      </c>
      <c r="B79" s="1">
        <v>6</v>
      </c>
      <c r="C79" s="8">
        <v>376321</v>
      </c>
      <c r="E79" s="4" t="s">
        <v>271</v>
      </c>
      <c r="F79" s="1">
        <v>0</v>
      </c>
      <c r="G79" s="1">
        <v>9</v>
      </c>
      <c r="H79" s="8">
        <v>231289</v>
      </c>
    </row>
    <row r="80" spans="1:8" x14ac:dyDescent="0.3">
      <c r="A80" s="4" t="s">
        <v>230</v>
      </c>
      <c r="B80" s="1">
        <v>7</v>
      </c>
      <c r="C80" s="8">
        <v>353195</v>
      </c>
      <c r="E80" s="4" t="s">
        <v>95</v>
      </c>
      <c r="F80" s="1">
        <v>0</v>
      </c>
      <c r="G80" s="1">
        <v>9</v>
      </c>
      <c r="H80" s="8">
        <v>234581</v>
      </c>
    </row>
    <row r="81" spans="1:8" x14ac:dyDescent="0.3">
      <c r="A81" s="4" t="s">
        <v>268</v>
      </c>
      <c r="B81" s="1">
        <v>5</v>
      </c>
      <c r="C81" s="8">
        <v>346020</v>
      </c>
      <c r="E81" s="4" t="s">
        <v>263</v>
      </c>
      <c r="F81" s="1">
        <v>0</v>
      </c>
      <c r="G81" s="1">
        <v>9</v>
      </c>
      <c r="H81" s="8">
        <v>66630</v>
      </c>
    </row>
    <row r="82" spans="1:8" x14ac:dyDescent="0.3">
      <c r="A82" s="4" t="s">
        <v>195</v>
      </c>
      <c r="B82" s="1">
        <v>4</v>
      </c>
      <c r="C82" s="8">
        <v>336100</v>
      </c>
      <c r="E82" s="4" t="s">
        <v>253</v>
      </c>
      <c r="F82" s="1">
        <v>0</v>
      </c>
      <c r="G82" s="1">
        <v>9</v>
      </c>
      <c r="H82" s="8">
        <v>155619</v>
      </c>
    </row>
    <row r="83" spans="1:8" x14ac:dyDescent="0.3">
      <c r="A83" s="4" t="s">
        <v>26</v>
      </c>
      <c r="B83" s="1">
        <v>7</v>
      </c>
      <c r="C83" s="8">
        <v>323980</v>
      </c>
      <c r="E83" s="4" t="s">
        <v>59</v>
      </c>
      <c r="F83" s="1">
        <v>0</v>
      </c>
      <c r="G83" s="1">
        <v>8</v>
      </c>
      <c r="H83" s="8">
        <v>184513</v>
      </c>
    </row>
    <row r="84" spans="1:8" x14ac:dyDescent="0.3">
      <c r="A84" s="4" t="s">
        <v>254</v>
      </c>
      <c r="B84" s="1">
        <v>3</v>
      </c>
      <c r="C84" s="8">
        <v>317216</v>
      </c>
      <c r="E84" s="4" t="s">
        <v>247</v>
      </c>
      <c r="F84" s="1">
        <v>0</v>
      </c>
      <c r="G84" s="1">
        <v>8</v>
      </c>
      <c r="H84" s="8">
        <v>30247</v>
      </c>
    </row>
    <row r="85" spans="1:8" x14ac:dyDescent="0.3">
      <c r="A85" s="4" t="s">
        <v>227</v>
      </c>
      <c r="B85" s="1">
        <v>7</v>
      </c>
      <c r="C85" s="8">
        <v>316135</v>
      </c>
      <c r="E85" s="4" t="s">
        <v>260</v>
      </c>
      <c r="F85" s="1">
        <v>0</v>
      </c>
      <c r="G85" s="1">
        <v>8</v>
      </c>
      <c r="H85" s="8">
        <v>126493</v>
      </c>
    </row>
    <row r="86" spans="1:8" x14ac:dyDescent="0.3">
      <c r="A86" s="4" t="s">
        <v>264</v>
      </c>
      <c r="B86" s="1">
        <v>4</v>
      </c>
      <c r="C86" s="8">
        <v>307647</v>
      </c>
      <c r="E86" s="4" t="s">
        <v>26</v>
      </c>
      <c r="F86" s="1">
        <v>0</v>
      </c>
      <c r="G86" s="1">
        <v>7</v>
      </c>
      <c r="H86" s="8">
        <v>46283</v>
      </c>
    </row>
    <row r="87" spans="1:8" x14ac:dyDescent="0.3">
      <c r="A87" s="4" t="s">
        <v>100</v>
      </c>
      <c r="B87" s="1">
        <v>5</v>
      </c>
      <c r="C87" s="8">
        <v>306320</v>
      </c>
      <c r="E87" s="4" t="s">
        <v>171</v>
      </c>
      <c r="F87" s="1">
        <v>0</v>
      </c>
      <c r="G87" s="1">
        <v>7</v>
      </c>
      <c r="H87" s="8">
        <v>113189</v>
      </c>
    </row>
    <row r="88" spans="1:8" x14ac:dyDescent="0.3">
      <c r="A88" s="4" t="s">
        <v>274</v>
      </c>
      <c r="B88" s="1">
        <v>5</v>
      </c>
      <c r="C88" s="8">
        <v>284410</v>
      </c>
      <c r="E88" s="4" t="s">
        <v>146</v>
      </c>
      <c r="F88" s="1">
        <v>0</v>
      </c>
      <c r="G88" s="1">
        <v>7</v>
      </c>
      <c r="H88" s="8">
        <v>21633</v>
      </c>
    </row>
    <row r="89" spans="1:8" x14ac:dyDescent="0.3">
      <c r="A89" s="4" t="s">
        <v>278</v>
      </c>
      <c r="B89" s="1">
        <v>4</v>
      </c>
      <c r="C89" s="8">
        <v>242335</v>
      </c>
      <c r="E89" s="4" t="s">
        <v>88</v>
      </c>
      <c r="F89" s="1">
        <v>0</v>
      </c>
      <c r="G89" s="1">
        <v>6</v>
      </c>
      <c r="H89" s="8">
        <v>168250</v>
      </c>
    </row>
    <row r="90" spans="1:8" x14ac:dyDescent="0.3">
      <c r="A90" s="4" t="s">
        <v>262</v>
      </c>
      <c r="B90" s="1">
        <v>4</v>
      </c>
      <c r="C90" s="8">
        <v>199205</v>
      </c>
      <c r="E90" s="4" t="s">
        <v>103</v>
      </c>
      <c r="F90" s="1">
        <v>0</v>
      </c>
      <c r="G90" s="1">
        <v>6</v>
      </c>
      <c r="H90" s="8">
        <v>263052</v>
      </c>
    </row>
    <row r="91" spans="1:8" x14ac:dyDescent="0.3">
      <c r="A91" s="4" t="s">
        <v>197</v>
      </c>
      <c r="B91" s="1">
        <v>3</v>
      </c>
      <c r="C91" s="8">
        <v>194724</v>
      </c>
      <c r="E91" s="4" t="s">
        <v>255</v>
      </c>
      <c r="F91" s="1">
        <v>0</v>
      </c>
      <c r="G91" s="1">
        <v>6</v>
      </c>
      <c r="H91" s="8">
        <v>25762</v>
      </c>
    </row>
    <row r="92" spans="1:8" x14ac:dyDescent="0.3">
      <c r="A92" s="4" t="s">
        <v>247</v>
      </c>
      <c r="B92" s="1">
        <v>6</v>
      </c>
      <c r="C92" s="8">
        <v>181480</v>
      </c>
      <c r="E92" s="4" t="s">
        <v>168</v>
      </c>
      <c r="F92" s="1">
        <v>0</v>
      </c>
      <c r="G92" s="1">
        <v>6</v>
      </c>
      <c r="H92" s="8">
        <v>58735</v>
      </c>
    </row>
    <row r="93" spans="1:8" x14ac:dyDescent="0.3">
      <c r="A93" s="4" t="s">
        <v>52</v>
      </c>
      <c r="B93" s="1">
        <v>3</v>
      </c>
      <c r="C93" s="8">
        <v>171910</v>
      </c>
      <c r="E93" s="4" t="s">
        <v>224</v>
      </c>
      <c r="F93" s="1">
        <v>0</v>
      </c>
      <c r="G93" s="1">
        <v>5</v>
      </c>
      <c r="H93" s="8">
        <v>195454</v>
      </c>
    </row>
    <row r="94" spans="1:8" x14ac:dyDescent="0.3">
      <c r="A94" s="4" t="s">
        <v>251</v>
      </c>
      <c r="B94" s="1">
        <v>4</v>
      </c>
      <c r="C94" s="8">
        <v>161590</v>
      </c>
      <c r="E94" s="4" t="s">
        <v>276</v>
      </c>
      <c r="F94" s="1">
        <v>0</v>
      </c>
      <c r="G94" s="1">
        <v>5</v>
      </c>
      <c r="H94" s="8">
        <v>336651</v>
      </c>
    </row>
    <row r="95" spans="1:8" x14ac:dyDescent="0.3">
      <c r="A95" s="4" t="s">
        <v>282</v>
      </c>
      <c r="B95" s="1">
        <v>3</v>
      </c>
      <c r="C95" s="8">
        <v>157120</v>
      </c>
      <c r="E95" s="4" t="s">
        <v>160</v>
      </c>
      <c r="F95" s="1">
        <v>0</v>
      </c>
      <c r="G95" s="1">
        <v>2</v>
      </c>
      <c r="H95" s="8">
        <v>197827</v>
      </c>
    </row>
    <row r="96" spans="1:8" x14ac:dyDescent="0.3">
      <c r="A96" s="4" t="s">
        <v>255</v>
      </c>
      <c r="B96" s="1">
        <v>6</v>
      </c>
      <c r="C96" s="8">
        <v>154570</v>
      </c>
      <c r="E96" s="4" t="s">
        <v>54</v>
      </c>
      <c r="F96" s="1">
        <v>0</v>
      </c>
      <c r="G96" s="1">
        <v>2</v>
      </c>
      <c r="H96" s="8">
        <v>62720</v>
      </c>
    </row>
    <row r="97" spans="1:8" x14ac:dyDescent="0.3">
      <c r="A97" s="4" t="s">
        <v>259</v>
      </c>
      <c r="B97" s="1">
        <v>2</v>
      </c>
      <c r="C97" s="8">
        <v>148870</v>
      </c>
      <c r="E97" s="4" t="s">
        <v>202</v>
      </c>
      <c r="F97" s="1">
        <v>0</v>
      </c>
      <c r="G97" s="1">
        <v>2</v>
      </c>
      <c r="H97" s="8">
        <v>108122</v>
      </c>
    </row>
    <row r="98" spans="1:8" x14ac:dyDescent="0.3">
      <c r="A98" s="4" t="s">
        <v>284</v>
      </c>
      <c r="B98" s="1">
        <v>5</v>
      </c>
      <c r="C98" s="8">
        <v>148000</v>
      </c>
      <c r="E98" s="4" t="s">
        <v>61</v>
      </c>
      <c r="F98" s="1">
        <v>0</v>
      </c>
      <c r="G98" s="1">
        <v>1</v>
      </c>
      <c r="H98" s="8">
        <v>349583</v>
      </c>
    </row>
    <row r="99" spans="1:8" x14ac:dyDescent="0.3">
      <c r="A99" s="4" t="s">
        <v>275</v>
      </c>
      <c r="B99" s="1">
        <v>5</v>
      </c>
      <c r="C99" s="8">
        <v>146729</v>
      </c>
      <c r="E99" s="4" t="s">
        <v>270</v>
      </c>
      <c r="F99" s="1">
        <v>0</v>
      </c>
      <c r="G99" s="1">
        <v>1</v>
      </c>
      <c r="H99" s="8">
        <v>70703</v>
      </c>
    </row>
    <row r="100" spans="1:8" x14ac:dyDescent="0.3">
      <c r="A100" s="4" t="s">
        <v>239</v>
      </c>
      <c r="B100" s="1">
        <v>4</v>
      </c>
      <c r="C100" s="8">
        <v>140295</v>
      </c>
      <c r="E100" s="4" t="s">
        <v>122</v>
      </c>
      <c r="F100" s="1">
        <v>0</v>
      </c>
      <c r="G100" s="1">
        <v>1</v>
      </c>
      <c r="H100" s="8">
        <v>128409</v>
      </c>
    </row>
    <row r="101" spans="1:8" x14ac:dyDescent="0.3">
      <c r="A101" s="4" t="s">
        <v>257</v>
      </c>
      <c r="B101" s="1">
        <v>5</v>
      </c>
      <c r="C101" s="8">
        <v>83670</v>
      </c>
      <c r="E101" s="4" t="s">
        <v>265</v>
      </c>
      <c r="F101" s="1">
        <v>0</v>
      </c>
      <c r="G101" s="1">
        <v>1</v>
      </c>
      <c r="H101" s="8">
        <v>114833</v>
      </c>
    </row>
    <row r="102" spans="1:8" x14ac:dyDescent="0.3">
      <c r="A102" s="4" t="s">
        <v>146</v>
      </c>
      <c r="B102" s="1">
        <v>3</v>
      </c>
      <c r="C102" s="8">
        <v>64900</v>
      </c>
      <c r="E102" s="4" t="s">
        <v>165</v>
      </c>
      <c r="F102" s="1">
        <v>0</v>
      </c>
      <c r="G102" s="1">
        <v>0</v>
      </c>
      <c r="H102" s="8">
        <v>283877</v>
      </c>
    </row>
    <row r="103" spans="1:8" x14ac:dyDescent="0.3">
      <c r="A103" s="4" t="s">
        <v>116</v>
      </c>
      <c r="B103" s="1">
        <v>3</v>
      </c>
      <c r="C103" s="8">
        <v>52250</v>
      </c>
      <c r="E103" s="4" t="s">
        <v>245</v>
      </c>
      <c r="F103" s="1">
        <v>0</v>
      </c>
      <c r="G103" s="1">
        <v>0</v>
      </c>
      <c r="H103" s="8">
        <v>129196</v>
      </c>
    </row>
    <row r="104" spans="1:8" x14ac:dyDescent="0.3">
      <c r="A104" s="4" t="s">
        <v>119</v>
      </c>
      <c r="B104" s="1">
        <v>2</v>
      </c>
      <c r="C104" s="8">
        <v>35700</v>
      </c>
      <c r="E104" s="4" t="s">
        <v>277</v>
      </c>
      <c r="F104" s="1">
        <v>0</v>
      </c>
      <c r="G104" s="1">
        <v>0</v>
      </c>
      <c r="H104" s="8">
        <v>240244</v>
      </c>
    </row>
    <row r="105" spans="1:8" x14ac:dyDescent="0.3">
      <c r="A105" s="4" t="s">
        <v>248</v>
      </c>
      <c r="B105" s="1">
        <v>1</v>
      </c>
      <c r="C105" s="8">
        <v>10080</v>
      </c>
      <c r="E105" s="4" t="s">
        <v>173</v>
      </c>
      <c r="F105" s="1">
        <v>0</v>
      </c>
      <c r="G105" s="1">
        <v>0</v>
      </c>
      <c r="H105" s="8">
        <v>193438</v>
      </c>
    </row>
    <row r="106" spans="1:8" x14ac:dyDescent="0.3">
      <c r="A106" s="4" t="s">
        <v>238</v>
      </c>
      <c r="B106" s="1">
        <v>830</v>
      </c>
      <c r="C106" s="8">
        <v>126579301</v>
      </c>
      <c r="E106" s="4" t="s">
        <v>238</v>
      </c>
      <c r="F106" s="1">
        <v>16</v>
      </c>
      <c r="G106" s="1">
        <v>4589</v>
      </c>
      <c r="H106" s="8">
        <v>10316632</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A5DACA2-B667-4C20-BDEA-520FBD7D9EC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customer_master_pipeline_202610</vt:lpstr>
      <vt:lpstr>Ringkasan</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Irfan Maula Ramadhan</dc:creator>
  <cp:lastModifiedBy>Irfan Maula Ramadhan</cp:lastModifiedBy>
  <dcterms:created xsi:type="dcterms:W3CDTF">2026-10-11T23:35:11Z</dcterms:created>
  <dcterms:modified xsi:type="dcterms:W3CDTF">2026-10-12T18:11:06Z</dcterms:modified>
</cp:coreProperties>
</file>